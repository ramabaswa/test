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amabaswa/Desktop/"/>
    </mc:Choice>
  </mc:AlternateContent>
  <xr:revisionPtr revIDLastSave="0" documentId="11_E32365DB443E8DE220998240BFF5E997BD1EF67C" xr6:coauthVersionLast="47" xr6:coauthVersionMax="47" xr10:uidLastSave="{00000000-0000-0000-0000-000000000000}"/>
  <bookViews>
    <workbookView xWindow="0" yWindow="0" windowWidth="28800" windowHeight="18000" tabRatio="500" activeTab="5" xr2:uid="{00000000-000D-0000-FFFF-FFFF00000000}"/>
  </bookViews>
  <sheets>
    <sheet name="Read Me" sheetId="1" r:id="rId1"/>
    <sheet name="Classification" sheetId="2" r:id="rId2"/>
    <sheet name="Control Matrix" sheetId="3" r:id="rId3"/>
    <sheet name="Supervisor vs Worker" sheetId="4" r:id="rId4"/>
    <sheet name="Coverage Page" sheetId="5" r:id="rId5"/>
    <sheet name="Sample Coverage" sheetId="6" r:id="rId6"/>
  </sheets>
  <definedNames>
    <definedName name="_xlnm._FilterDatabase" localSheetId="2" hidden="1">'Control Matrix'!$B$5:$M$36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6" l="1"/>
  <c r="S13" i="6"/>
  <c r="J13" i="6"/>
  <c r="K13" i="6" s="1"/>
  <c r="L13" i="6" s="1"/>
  <c r="S12" i="6"/>
  <c r="J12" i="6"/>
  <c r="K12" i="6" s="1"/>
  <c r="L12" i="6" s="1"/>
  <c r="S11" i="6"/>
  <c r="J11" i="6"/>
  <c r="K11" i="6" s="1"/>
  <c r="L11" i="6" s="1"/>
  <c r="S10" i="6"/>
  <c r="J10" i="6"/>
  <c r="K10" i="6" s="1"/>
  <c r="L10" i="6" s="1"/>
  <c r="S9" i="6"/>
  <c r="K9" i="6"/>
  <c r="L9" i="6" s="1"/>
  <c r="J9" i="6"/>
  <c r="S8" i="6"/>
  <c r="K8" i="6"/>
  <c r="L8" i="6" s="1"/>
  <c r="J8" i="6"/>
  <c r="S7" i="6"/>
  <c r="F20" i="6" s="1"/>
  <c r="J7" i="6"/>
  <c r="K7" i="6" s="1"/>
  <c r="L7" i="6" s="1"/>
  <c r="S6" i="6"/>
  <c r="D20" i="6" s="1"/>
  <c r="K6" i="6"/>
  <c r="J6" i="6"/>
  <c r="C38" i="2"/>
  <c r="C37" i="2"/>
  <c r="C39" i="2" s="1"/>
  <c r="C40" i="2" s="1"/>
  <c r="C41" i="2" s="1"/>
  <c r="C42" i="2" s="1"/>
  <c r="C43" i="2" s="1"/>
  <c r="C44" i="2" s="1"/>
  <c r="I9" i="2"/>
  <c r="H9" i="2"/>
  <c r="G9" i="2"/>
  <c r="I8" i="2"/>
  <c r="H8" i="2"/>
  <c r="G8" i="2"/>
  <c r="I7" i="2"/>
  <c r="H7" i="2"/>
  <c r="G7" i="2"/>
  <c r="C24" i="6" l="1"/>
  <c r="L6" i="6"/>
  <c r="D19" i="6" l="1"/>
  <c r="D17" i="6"/>
  <c r="C19" i="6"/>
  <c r="C17" i="6"/>
  <c r="F18" i="6"/>
  <c r="E18" i="6"/>
  <c r="D18" i="6"/>
  <c r="C18" i="6"/>
  <c r="F19" i="6"/>
  <c r="F17" i="6"/>
  <c r="E19" i="6"/>
  <c r="E17" i="6"/>
  <c r="C20" i="6" l="1"/>
  <c r="E20" i="6"/>
</calcChain>
</file>

<file path=xl/sharedStrings.xml><?xml version="1.0" encoding="utf-8"?>
<sst xmlns="http://schemas.openxmlformats.org/spreadsheetml/2006/main" count="804" uniqueCount="562">
  <si>
    <t>Agent Use-Case Framework - Supervisor and Worker Control Matrix</t>
  </si>
  <si>
    <t>Expands the Use-Case Framework Coverage page of the Agent Onboarding Console</t>
  </si>
  <si>
    <t>Topic</t>
  </si>
  <si>
    <t>Explanation</t>
  </si>
  <si>
    <t>Purpose</t>
  </si>
  <si>
    <t>Explains how an agent's criticality tier and role (supervisor vs worker) determine the controls applied at onboarding and at runtime, and how coverage of those controls is measured.</t>
  </si>
  <si>
    <t>How to present it</t>
  </si>
  <si>
    <t>1) Classification: show how complexity x availability sets the base tier, then how data sensitivity, autonomy and role modify it.  2) Control Matrix: walk one row per domain across the six tier/role columns.  3) Supervisor vs Worker: explain why the two roles need different controls.  4) Coverage Page: show the widgets and the sample roll-up.</t>
  </si>
  <si>
    <t>Tier definitions</t>
  </si>
  <si>
    <t>Critical: failure or misuse causes material business, regulatory or customer impact. Standard: meaningful impact, recoverable within business process. Low: read-only or narrow scope, limited blast radius.</t>
  </si>
  <si>
    <t>Role definitions</t>
  </si>
  <si>
    <t>Supervisor agent: plans and delegates work to worker agents, holds orchestration context, should not call business APIs directly. Worker agent: executes a narrow task against designated tools, cannot delegate to other agents.</t>
  </si>
  <si>
    <t>Key rule</t>
  </si>
  <si>
    <t>A supervisor's effective tier is never lower than the highest tier of any worker it can invoke. Delegation cannot be used to launder a Critical capability through a lower-tier supervisor.</t>
  </si>
  <si>
    <t>Enforcement points</t>
  </si>
  <si>
    <t>ServiceNow (approvals, CMDB, recertification), Onboarding Microservice, Microsoft Entra ID, Azure Key Vault, Azure API Management, AI / MCP Gateway, Oasis (NHI governance), Wiz (posture), OpenTelemetry to Dynatrace (traces, metrics) and Splunk (logs).</t>
  </si>
  <si>
    <t>Values to confirm</t>
  </si>
  <si>
    <t>Numeric thresholds (rotation days, sampling %, fan-out limits, SLA days, SLO targets) are recommended starting points. Replace with your policy values. Cells on the Classification calculator shaded light yellow are inputs.</t>
  </si>
  <si>
    <t>Sheets</t>
  </si>
  <si>
    <t>Classification | Control Matrix | Supervisor vs Worker | Coverage Page | Sample Coverage</t>
  </si>
  <si>
    <t>Step 1 - Classification</t>
  </si>
  <si>
    <t>Base tier = complexity x availability. Modifiers raise the tier, never lower it.</t>
  </si>
  <si>
    <t>Complexity level</t>
  </si>
  <si>
    <t>Score</t>
  </si>
  <si>
    <t>Definition</t>
  </si>
  <si>
    <t>Base tier grid (complexity score + availability score: 2-3 Low, 4 Standard, 5-6 Critical)</t>
  </si>
  <si>
    <t>Low</t>
  </si>
  <si>
    <t>Single task, single tool, deterministic prompt, no multi-step reasoning</t>
  </si>
  <si>
    <t>Availability \ Complexity</t>
  </si>
  <si>
    <t>Medium</t>
  </si>
  <si>
    <t>High</t>
  </si>
  <si>
    <t>Multi-step task, 2-5 tools, bounded reasoning, structured outputs</t>
  </si>
  <si>
    <t>Standard</t>
  </si>
  <si>
    <t>Open-ended planning, many tools or agents, dynamic tool selection</t>
  </si>
  <si>
    <t>Mission-critical</t>
  </si>
  <si>
    <t>Availability need</t>
  </si>
  <si>
    <t>Best effort, business hours, outage tolerated for a day</t>
  </si>
  <si>
    <t>Modifiers (applied in order)</t>
  </si>
  <si>
    <t>Business-hours SLA, outage tolerated for hours</t>
  </si>
  <si>
    <t>#</t>
  </si>
  <si>
    <t>Modifier</t>
  </si>
  <si>
    <t>Effect</t>
  </si>
  <si>
    <t>Why</t>
  </si>
  <si>
    <t>24x7, outage directly stops a business process or customer journey</t>
  </si>
  <si>
    <t>Data classification = Restricted</t>
  </si>
  <si>
    <t>Tier becomes Critical</t>
  </si>
  <si>
    <t>Regulated or highly sensitive data sets the floor regardless of complexity</t>
  </si>
  <si>
    <t>Autonomy = Autonomous write</t>
  </si>
  <si>
    <t>Tier +1 (max Critical)</t>
  </si>
  <si>
    <t>Unattended write actions increase blast radius</t>
  </si>
  <si>
    <t>Tier</t>
  </si>
  <si>
    <t>Tier number</t>
  </si>
  <si>
    <t>Meaning</t>
  </si>
  <si>
    <t>Role = Supervisor</t>
  </si>
  <si>
    <t>Tier = MAX(own tier, highest bound worker tier)</t>
  </si>
  <si>
    <t>Prevents delegating a Critical capability through a lower-tier supervisor</t>
  </si>
  <si>
    <t>Read-only or narrow scope, limited blast radius</t>
  </si>
  <si>
    <t>Role = Worker</t>
  </si>
  <si>
    <t>No change</t>
  </si>
  <si>
    <t>Worker tier stands on its own tools and data</t>
  </si>
  <si>
    <t>Meaningful impact, recoverable</t>
  </si>
  <si>
    <t>Critical</t>
  </si>
  <si>
    <t>Material business, regulatory or customer impact</t>
  </si>
  <si>
    <t>Data classification</t>
  </si>
  <si>
    <t>Autonomy</t>
  </si>
  <si>
    <t>Role</t>
  </si>
  <si>
    <t>Public</t>
  </si>
  <si>
    <t>Read-only</t>
  </si>
  <si>
    <t>Supervisor</t>
  </si>
  <si>
    <t>Internal</t>
  </si>
  <si>
    <t>Write with approval</t>
  </si>
  <si>
    <t>Worker</t>
  </si>
  <si>
    <t>Confidential</t>
  </si>
  <si>
    <t>Autonomous write</t>
  </si>
  <si>
    <t>Restricted</t>
  </si>
  <si>
    <t>Tier calculator (edit the yellow cells)</t>
  </si>
  <si>
    <t>Input</t>
  </si>
  <si>
    <t>Value</t>
  </si>
  <si>
    <t>Complexity</t>
  </si>
  <si>
    <t>Availability</t>
  </si>
  <si>
    <t>Highest bound worker tier (supervisors only)</t>
  </si>
  <si>
    <t>Step</t>
  </si>
  <si>
    <t>Result</t>
  </si>
  <si>
    <t>Complexity score</t>
  </si>
  <si>
    <t>Availability score</t>
  </si>
  <si>
    <t>Base tier number</t>
  </si>
  <si>
    <t>After data modifier</t>
  </si>
  <si>
    <t>After autonomy modifier</t>
  </si>
  <si>
    <t>After role modifier</t>
  </si>
  <si>
    <t>Effective tier</t>
  </si>
  <si>
    <t>Control column to apply</t>
  </si>
  <si>
    <t>Step 2 - Control Matrix by Tier and Role</t>
  </si>
  <si>
    <t>Each row is a control. Read across to see how it changes by tier and by supervisor vs worker.</t>
  </si>
  <si>
    <t>ID</t>
  </si>
  <si>
    <t>Domain</t>
  </si>
  <si>
    <t>Control</t>
  </si>
  <si>
    <t>Why it matters</t>
  </si>
  <si>
    <t>Critical - Supervisor</t>
  </si>
  <si>
    <t>Critical - Worker</t>
  </si>
  <si>
    <t>Standard - Supervisor</t>
  </si>
  <si>
    <t>Standard - Worker</t>
  </si>
  <si>
    <t>Low - Supervisor</t>
  </si>
  <si>
    <t>Low - Worker</t>
  </si>
  <si>
    <t>Enforced at</t>
  </si>
  <si>
    <t>Evidence / coverage metric</t>
  </si>
  <si>
    <t>C-01</t>
  </si>
  <si>
    <t>Approval and lifecycle</t>
  </si>
  <si>
    <t>Approval chain</t>
  </si>
  <si>
    <t>Scrutiny proportional to impact</t>
  </si>
  <si>
    <t>Manager + Security Architecture + Data Owner + AI Governance + CAB (Prod)</t>
  </si>
  <si>
    <t>Manager + Security + Data Owner + CAB (Prod)</t>
  </si>
  <si>
    <t>Manager + Security + AI Governance</t>
  </si>
  <si>
    <t>Manager + Security</t>
  </si>
  <si>
    <t>Manager + Security (supervisors never skip Security)</t>
  </si>
  <si>
    <t>Manager</t>
  </si>
  <si>
    <t>ServiceNow Flow + Decision Table</t>
  </si>
  <si>
    <t>% agents whose approval record matches required chain</t>
  </si>
  <si>
    <t>C-02</t>
  </si>
  <si>
    <t>Environment promotion</t>
  </si>
  <si>
    <t>Stops untested agents reaching Prod</t>
  </si>
  <si>
    <t>Gate at each step dev&gt;qa&gt;uat&gt;prod. Cannot promote before all bound workers are promoted</t>
  </si>
  <si>
    <t>Gate at each step dev&gt;qa&gt;uat&gt;prod</t>
  </si>
  <si>
    <t>Gate at UAT&gt;Prod. Bound workers promoted first</t>
  </si>
  <si>
    <t>Gate at UAT&gt;Prod</t>
  </si>
  <si>
    <t>Single approval to Prod. Bound workers promoted first</t>
  </si>
  <si>
    <t>Single approval to Prod</t>
  </si>
  <si>
    <t>ServiceNow + Onboarding Microservice</t>
  </si>
  <si>
    <t>Env matrix drift count</t>
  </si>
  <si>
    <t>C-03</t>
  </si>
  <si>
    <t>Ownership</t>
  </si>
  <si>
    <t>Accountability for NHI</t>
  </si>
  <si>
    <t>Business owner + technical owner + backup owner</t>
  </si>
  <si>
    <t>Owner + backup owner</t>
  </si>
  <si>
    <t>ServiceNow CMDB, Entra sponsor, Oasis</t>
  </si>
  <si>
    <t>% agents with active owner and backup</t>
  </si>
  <si>
    <t>C-04</t>
  </si>
  <si>
    <t>Recertification</t>
  </si>
  <si>
    <t>Detects scope creep and stale agents</t>
  </si>
  <si>
    <t>Quarterly, includes review of worker binding list</t>
  </si>
  <si>
    <t>Quarterly</t>
  </si>
  <si>
    <t>Semi-annual, includes worker binding list</t>
  </si>
  <si>
    <t>Semi-annual</t>
  </si>
  <si>
    <t>Annual, includes worker binding list</t>
  </si>
  <si>
    <t>Annual</t>
  </si>
  <si>
    <t>ServiceNow + Oasis</t>
  </si>
  <si>
    <t>% recertifications on time</t>
  </si>
  <si>
    <t>C-05</t>
  </si>
  <si>
    <t>Inactivity disable</t>
  </si>
  <si>
    <t>Removes unused standing access</t>
  </si>
  <si>
    <t>Disable after 30 days no activity</t>
  </si>
  <si>
    <t>Disable after 60 days</t>
  </si>
  <si>
    <t>Disable after 90 days</t>
  </si>
  <si>
    <t>Oasis + Onboarding Microservice</t>
  </si>
  <si>
    <t>Count of inactive agents still enabled</t>
  </si>
  <si>
    <t>C-06</t>
  </si>
  <si>
    <t>Offboarding order</t>
  </si>
  <si>
    <t>Prevents orphaned delegation paths</t>
  </si>
  <si>
    <t>Remove worker bindings first, then gateways, roles, identity</t>
  </si>
  <si>
    <t>Cannot retire while bound to an active supervisor. Unbind and notify supervisor owner first</t>
  </si>
  <si>
    <t>Remove worker bindings first</t>
  </si>
  <si>
    <t>Unbind from supervisors first</t>
  </si>
  <si>
    <t>Onboarding Microservice (saga)</t>
  </si>
  <si>
    <t>Offboarding teardown checks passed %</t>
  </si>
  <si>
    <t>C-07</t>
  </si>
  <si>
    <t>Identity and credentials</t>
  </si>
  <si>
    <t>Identity model</t>
  </si>
  <si>
    <t>Separate blast radius per environment</t>
  </si>
  <si>
    <t>Dedicated Entra agent identity per env</t>
  </si>
  <si>
    <t>Entra ID</t>
  </si>
  <si>
    <t>Identities shared across envs (target 0)</t>
  </si>
  <si>
    <t>C-08</t>
  </si>
  <si>
    <t>Credential type</t>
  </si>
  <si>
    <t>Removes static secrets</t>
  </si>
  <si>
    <t>Managed identity or federated credential only</t>
  </si>
  <si>
    <t>Managed identity / federated. Certificate only if runtime outside Azure without OIDC</t>
  </si>
  <si>
    <t>Managed identity / federated / certificate</t>
  </si>
  <si>
    <t>Entra ID + Key Vault</t>
  </si>
  <si>
    <t>Client secrets in use (target 0)</t>
  </si>
  <si>
    <t>C-09</t>
  </si>
  <si>
    <t>Certificate rotation</t>
  </si>
  <si>
    <t>Limits credential exposure window</t>
  </si>
  <si>
    <t>N/A (no certificates)</t>
  </si>
  <si>
    <t>90 days</t>
  </si>
  <si>
    <t>180 days</t>
  </si>
  <si>
    <t>Key Vault rotation policy + Oasis</t>
  </si>
  <si>
    <t>Certs past rotation date</t>
  </si>
  <si>
    <t>C-10</t>
  </si>
  <si>
    <t>Conditional Access for workload identities</t>
  </si>
  <si>
    <t>Location and risk-based token issuance</t>
  </si>
  <si>
    <t>Required</t>
  </si>
  <si>
    <t>Recommended</t>
  </si>
  <si>
    <t>Optional</t>
  </si>
  <si>
    <t>Entra ID (licensing dependent)</t>
  </si>
  <si>
    <t>% Critical agents covered by CA policy</t>
  </si>
  <si>
    <t>C-11</t>
  </si>
  <si>
    <t>Authorization</t>
  </si>
  <si>
    <t>Business API access</t>
  </si>
  <si>
    <t>Supervisor should orchestrate, not execute</t>
  </si>
  <si>
    <t>Denied. Business actions only through workers</t>
  </si>
  <si>
    <t>Only designated tool APIs via MCP Gateway</t>
  </si>
  <si>
    <t>Denied by default. Read-only exception with Security approval</t>
  </si>
  <si>
    <t>Entra app roles + MCP Gateway</t>
  </si>
  <si>
    <t>Supervisors holding business API roles (target 0)</t>
  </si>
  <si>
    <t>C-12</t>
  </si>
  <si>
    <t>Write / action permissions</t>
  </si>
  <si>
    <t>Controls irreversible actions</t>
  </si>
  <si>
    <t>Plan containing any write step needs human approval</t>
  </si>
  <si>
    <t>Every write needs human approval</t>
  </si>
  <si>
    <t>High-impact writes need human approval</t>
  </si>
  <si>
    <t>Writes allowed within scope. High-impact needs human approval</t>
  </si>
  <si>
    <t>No write plans</t>
  </si>
  <si>
    <t>Read-only by default</t>
  </si>
  <si>
    <t>MCP Gateway + app roles</t>
  </si>
  <si>
    <t>Writes executed without required approval (target 0)</t>
  </si>
  <si>
    <t>C-13</t>
  </si>
  <si>
    <t>App roles / scopes</t>
  </si>
  <si>
    <t>Least privilege</t>
  </si>
  <si>
    <t>Roles only on MCP Gateway orchestration APIs</t>
  </si>
  <si>
    <t>One role per tool API, least privilege</t>
  </si>
  <si>
    <t>Unused role assignments (Oasis)</t>
  </si>
  <si>
    <t>C-14</t>
  </si>
  <si>
    <t>Delegation</t>
  </si>
  <si>
    <t>Allowed callees</t>
  </si>
  <si>
    <t>Explicit call graph</t>
  </si>
  <si>
    <t>Explicit bound list of worker agent IDs. Workers must be Active</t>
  </si>
  <si>
    <t>Accepts calls only from bound supervisors. Cannot call agents</t>
  </si>
  <si>
    <t>Explicit bound list of worker agent IDs</t>
  </si>
  <si>
    <t>MCP Gateway (A2A policy)</t>
  </si>
  <si>
    <t>Calls outside bound graph (target 0)</t>
  </si>
  <si>
    <t>C-15</t>
  </si>
  <si>
    <t>Max delegation depth</t>
  </si>
  <si>
    <t>Stops uncontrolled chains</t>
  </si>
  <si>
    <t>1 (supervisor to worker only)</t>
  </si>
  <si>
    <t>0 (cannot delegate)</t>
  </si>
  <si>
    <t>2</t>
  </si>
  <si>
    <t>MCP Gateway</t>
  </si>
  <si>
    <t>Max observed depth per trace (Dynatrace)</t>
  </si>
  <si>
    <t>C-16</t>
  </si>
  <si>
    <t>Tier inheritance</t>
  </si>
  <si>
    <t>No capability laundering</t>
  </si>
  <si>
    <t>Effective tier = MAX(own, highest bound worker)</t>
  </si>
  <si>
    <t>Own tier</t>
  </si>
  <si>
    <t>Effective tier = MAX(own, highest bound worker). Binding a Critical worker forces Critical</t>
  </si>
  <si>
    <t>Effective tier = MAX(own, highest bound worker). Binding a higher worker forces reclassification</t>
  </si>
  <si>
    <t>Use-Case Framework + Onboarding Microservice</t>
  </si>
  <si>
    <t>Supervisors below worker tier (target 0)</t>
  </si>
  <si>
    <t>C-17</t>
  </si>
  <si>
    <t>Identity propagation</t>
  </si>
  <si>
    <t>Keeps human and agent accountability in every call</t>
  </si>
  <si>
    <t>Token exchange carries user + supervisor actor chain</t>
  </si>
  <si>
    <t>Validate actor chain. Reject calls missing originating context</t>
  </si>
  <si>
    <t>Validate actor chain</t>
  </si>
  <si>
    <t>Token exchange carries supervisor identity</t>
  </si>
  <si>
    <t>Validate caller is bound supervisor</t>
  </si>
  <si>
    <t>MCP Gateway + Entra</t>
  </si>
  <si>
    <t>% worker calls with full actor chain</t>
  </si>
  <si>
    <t>C-18</t>
  </si>
  <si>
    <t>Fan-out limit</t>
  </si>
  <si>
    <t>Limits runaway parallel execution and cost</t>
  </si>
  <si>
    <t>Max 5 parallel worker calls per request</t>
  </si>
  <si>
    <t>N/A</t>
  </si>
  <si>
    <t>Max 10 parallel worker calls</t>
  </si>
  <si>
    <t>Max 20 parallel worker calls</t>
  </si>
  <si>
    <t>Fan-out limit hits per day</t>
  </si>
  <si>
    <t>C-19</t>
  </si>
  <si>
    <t>Loop / recursion guard</t>
  </si>
  <si>
    <t>Prevents agent loops</t>
  </si>
  <si>
    <t>Cycle detection + max steps per plan (e.g. 20)</t>
  </si>
  <si>
    <t>Cannot call agents</t>
  </si>
  <si>
    <t>Cycle detection + max steps (e.g. 50)</t>
  </si>
  <si>
    <t>Cycle detection + max steps (e.g. 100)</t>
  </si>
  <si>
    <t>Loop-guard trips</t>
  </si>
  <si>
    <t>C-20</t>
  </si>
  <si>
    <t>Runtime enforcement</t>
  </si>
  <si>
    <t>APIM rate limit</t>
  </si>
  <si>
    <t>Protects backends and cost</t>
  </si>
  <si>
    <t>Dedicated quota, burst limit, per-request fan-out budget</t>
  </si>
  <si>
    <t>Dedicated quota, per-tool limit</t>
  </si>
  <si>
    <t>Standard shared quota</t>
  </si>
  <si>
    <t>Standard shared quota, per-tool limit</t>
  </si>
  <si>
    <t>Low shared quota</t>
  </si>
  <si>
    <t>Azure API Management</t>
  </si>
  <si>
    <t>429 rate per agent</t>
  </si>
  <si>
    <t>C-21</t>
  </si>
  <si>
    <t>MCP tool allow-list</t>
  </si>
  <si>
    <t>Scopes what the agent can do</t>
  </si>
  <si>
    <t>Agent-invocation tools + read-only planning tools only</t>
  </si>
  <si>
    <t>Named business tools only, per-tool scopes</t>
  </si>
  <si>
    <t>Named business tools only</t>
  </si>
  <si>
    <t>Agent-invocation tools only</t>
  </si>
  <si>
    <t>Named read-only tools</t>
  </si>
  <si>
    <t>Tools used vs granted (unused grants)</t>
  </si>
  <si>
    <t>C-22</t>
  </si>
  <si>
    <t>Guardrails</t>
  </si>
  <si>
    <t>Prompt injection, data leakage, unsafe output</t>
  </si>
  <si>
    <t>Strict + treat worker output as untrusted input + plan validation</t>
  </si>
  <si>
    <t>Strict: injection detection, PII redaction in/out, output schema validation</t>
  </si>
  <si>
    <t>Standard + treat worker output as untrusted</t>
  </si>
  <si>
    <t>Standard: injection detection, PII redaction</t>
  </si>
  <si>
    <t>Baseline + treat worker output as untrusted</t>
  </si>
  <si>
    <t>Baseline</t>
  </si>
  <si>
    <t>MCP / AI Gateway</t>
  </si>
  <si>
    <t>Guardrail blocks per 1k calls</t>
  </si>
  <si>
    <t>C-23</t>
  </si>
  <si>
    <t>Kill switch</t>
  </si>
  <si>
    <t>Fast containment</t>
  </si>
  <si>
    <t>Per-agent kill switch, tested quarterly. Disabling supervisor also suspends its bindings</t>
  </si>
  <si>
    <t>Per-agent kill switch, tested quarterly</t>
  </si>
  <si>
    <t>Per-agent kill switch, cascades to bindings</t>
  </si>
  <si>
    <t>Per-agent kill switch</t>
  </si>
  <si>
    <t>MCP Gateway + Entra (disable SP)</t>
  </si>
  <si>
    <t>Kill switch test date</t>
  </si>
  <si>
    <t>C-24</t>
  </si>
  <si>
    <t>Observability</t>
  </si>
  <si>
    <t>Trace propagation (OTel)</t>
  </si>
  <si>
    <t>End-to-end accountability across agents</t>
  </si>
  <si>
    <t>Must propagate traceparent to every worker call</t>
  </si>
  <si>
    <t>Must continue incoming traceparent</t>
  </si>
  <si>
    <t>Must propagate traceparent</t>
  </si>
  <si>
    <t>All components to OTel Collector</t>
  </si>
  <si>
    <t>% worker spans with parent supervisor span</t>
  </si>
  <si>
    <t>C-25</t>
  </si>
  <si>
    <t>Trace sampling</t>
  </si>
  <si>
    <t>Cost vs visibility</t>
  </si>
  <si>
    <t>100%</t>
  </si>
  <si>
    <t>20% + 100% of errors and denies</t>
  </si>
  <si>
    <t>5% + 100% of errors and denies</t>
  </si>
  <si>
    <t>OTel Collector to Dynatrace</t>
  </si>
  <si>
    <t>Sampling config matches tier</t>
  </si>
  <si>
    <t>C-26</t>
  </si>
  <si>
    <t>Log retention</t>
  </si>
  <si>
    <t>Audit and investigation</t>
  </si>
  <si>
    <t>Policy value (suggest 13 months)</t>
  </si>
  <si>
    <t>Policy value (suggest 6 months)</t>
  </si>
  <si>
    <t>Policy value (suggest 90 days)</t>
  </si>
  <si>
    <t>Splunk</t>
  </si>
  <si>
    <t>Index retention matches tier</t>
  </si>
  <si>
    <t>C-27</t>
  </si>
  <si>
    <t>SLO and alerting</t>
  </si>
  <si>
    <t>Availability need from classification</t>
  </si>
  <si>
    <t>Availability SLO (e.g. 99.9%), 24x7 paging, delegation latency SLO</t>
  </si>
  <si>
    <t>Availability SLO (e.g. 99.9%), 24x7 paging</t>
  </si>
  <si>
    <t>SLO (e.g. 99.5%), business-hours alerts</t>
  </si>
  <si>
    <t>No SLO, error-rate alert only</t>
  </si>
  <si>
    <t>Dynatrace</t>
  </si>
  <si>
    <t>% Critical agents with SLO defined</t>
  </si>
  <si>
    <t>C-28</t>
  </si>
  <si>
    <t>Assurance</t>
  </si>
  <si>
    <t>Onboarding smoke test</t>
  </si>
  <si>
    <t>Proves controls work before go-live</t>
  </si>
  <si>
    <t>Allow, deny, guardrail, delegation depth, unbound-worker deny, failover</t>
  </si>
  <si>
    <t>Allow, deny, guardrail, unapproved-caller deny, failover</t>
  </si>
  <si>
    <t>Allow, deny, guardrail, unbound-worker deny</t>
  </si>
  <si>
    <t>Allow, deny, guardrail</t>
  </si>
  <si>
    <t>Allow, deny, unbound-worker deny</t>
  </si>
  <si>
    <t>Allow, deny</t>
  </si>
  <si>
    <t>Onboarding Microservice</t>
  </si>
  <si>
    <t>% agents with passing test for current version</t>
  </si>
  <si>
    <t>C-29</t>
  </si>
  <si>
    <t>Adversarial testing before Prod</t>
  </si>
  <si>
    <t>Injection and misuse resistance</t>
  </si>
  <si>
    <t>Required, includes compromised-worker-output scenario</t>
  </si>
  <si>
    <t>Recommended, includes compromised-worker-output scenario</t>
  </si>
  <si>
    <t>Security team</t>
  </si>
  <si>
    <t>Test evidence attached to CI</t>
  </si>
  <si>
    <t>C-30</t>
  </si>
  <si>
    <t>Governance</t>
  </si>
  <si>
    <t>Oasis NHI monitoring</t>
  </si>
  <si>
    <t>Entitlement, credential and ownership risk</t>
  </si>
  <si>
    <t>Continuous. High findings ticketed, SLA 1 day</t>
  </si>
  <si>
    <t>Continuous. High findings SLA 1 day</t>
  </si>
  <si>
    <t>Continuous. High findings SLA 7 days</t>
  </si>
  <si>
    <t>Continuous. High findings SLA 30 days</t>
  </si>
  <si>
    <t>Oasis + ServiceNow</t>
  </si>
  <si>
    <t>Open findings past SLA</t>
  </si>
  <si>
    <t>C-31</t>
  </si>
  <si>
    <t>Wiz posture</t>
  </si>
  <si>
    <t>Hosting and cloud configuration risk</t>
  </si>
  <si>
    <t>Hosting resources scanned. Critical issues SLA 1 day</t>
  </si>
  <si>
    <t>Critical issues SLA 1 day</t>
  </si>
  <si>
    <t>Critical issues SLA 7 days</t>
  </si>
  <si>
    <t>Critical issues SLA 30 days</t>
  </si>
  <si>
    <t>Wiz + ServiceNow</t>
  </si>
  <si>
    <t>Open issues past SLA</t>
  </si>
  <si>
    <t>Step 3 - Why Supervisors and Workers Get Different Controls</t>
  </si>
  <si>
    <t>Dimension</t>
  </si>
  <si>
    <t>Supervisor agent</t>
  </si>
  <si>
    <t>Worker agent</t>
  </si>
  <si>
    <t>Risk addressed</t>
  </si>
  <si>
    <t>Control IDs</t>
  </si>
  <si>
    <t>Primary job</t>
  </si>
  <si>
    <t>Plans, decomposes, delegates, aggregates</t>
  </si>
  <si>
    <t>Executes one narrow task</t>
  </si>
  <si>
    <t>Role confusion</t>
  </si>
  <si>
    <t>C-11, C-14</t>
  </si>
  <si>
    <t>Direct business API access</t>
  </si>
  <si>
    <t>Denied (orchestration APIs only)</t>
  </si>
  <si>
    <t>Designated tools only</t>
  </si>
  <si>
    <t>Supervisor becomes a super-user</t>
  </si>
  <si>
    <t>C-11, C-13</t>
  </si>
  <si>
    <t>Who it can call</t>
  </si>
  <si>
    <t>Only bound worker IDs</t>
  </si>
  <si>
    <t>No agents. Only its tools</t>
  </si>
  <si>
    <t>Uncontrolled agent graph</t>
  </si>
  <si>
    <t>C-14, C-15</t>
  </si>
  <si>
    <t>Who can call it</t>
  </si>
  <si>
    <t>Client apps via APIM</t>
  </si>
  <si>
    <t>Only bound supervisors</t>
  </si>
  <si>
    <t>Workers invoked out of context</t>
  </si>
  <si>
    <t>MAX(own, highest bound worker)</t>
  </si>
  <si>
    <t>Own classification</t>
  </si>
  <si>
    <t>Capability laundering through delegation</t>
  </si>
  <si>
    <t>Identity context</t>
  </si>
  <si>
    <t>Passes user + supervisor actor chain</t>
  </si>
  <si>
    <t>Validates the full actor chain</t>
  </si>
  <si>
    <t>Loss of accountability</t>
  </si>
  <si>
    <t>Input trust</t>
  </si>
  <si>
    <t>Treats worker output as untrusted</t>
  </si>
  <si>
    <t>Treats user and supervisor input as untrusted</t>
  </si>
  <si>
    <t>Cross-agent prompt injection</t>
  </si>
  <si>
    <t>Blast radius levers</t>
  </si>
  <si>
    <t>Fan-out limit, loop guard, max steps</t>
  </si>
  <si>
    <t>Per-tool scopes, write approval</t>
  </si>
  <si>
    <t>Runaway cost or mass action</t>
  </si>
  <si>
    <t>C-12, C-18, C-19</t>
  </si>
  <si>
    <t>Kill switch effect</t>
  </si>
  <si>
    <t>Cascades: suspends its worker bindings</t>
  </si>
  <si>
    <t>Stops only that worker</t>
  </si>
  <si>
    <t>Slow containment</t>
  </si>
  <si>
    <t>Telemetry duty</t>
  </si>
  <si>
    <t>Starts or propagates the trace</t>
  </si>
  <si>
    <t>Continues the trace</t>
  </si>
  <si>
    <t>Broken end-to-end audit</t>
  </si>
  <si>
    <t>Testing focus</t>
  </si>
  <si>
    <t>Delegation depth, unbound worker deny, compromised worker output</t>
  </si>
  <si>
    <t>Allow/deny, guardrails, unapproved caller deny</t>
  </si>
  <si>
    <t>Controls not proven</t>
  </si>
  <si>
    <t>C-28, C-29</t>
  </si>
  <si>
    <t>Promotion and offboarding</t>
  </si>
  <si>
    <t>Promote after workers. Retire bindings first</t>
  </si>
  <si>
    <t>Cannot retire while bound</t>
  </si>
  <si>
    <t>Orphaned or broken paths</t>
  </si>
  <si>
    <t>C-02, C-06</t>
  </si>
  <si>
    <t>Also recertifies worker binding list</t>
  </si>
  <si>
    <t>Recertifies tools and scopes</t>
  </si>
  <si>
    <t>Scope creep</t>
  </si>
  <si>
    <t>Step 4 - Use-Case Framework Coverage Page (dashboard spec)</t>
  </si>
  <si>
    <t>Widgets for the Coverage page in the ServiceNow workspace or the Agent Onboarding Console</t>
  </si>
  <si>
    <t>Widget</t>
  </si>
  <si>
    <t>Metric definition</t>
  </si>
  <si>
    <t>Visualization</t>
  </si>
  <si>
    <t>Filters</t>
  </si>
  <si>
    <t>Data source</t>
  </si>
  <si>
    <t>Target</t>
  </si>
  <si>
    <t>Drill-down</t>
  </si>
  <si>
    <t>Agents by tier x role</t>
  </si>
  <si>
    <t>Count of Active agents per effective tier and role</t>
  </si>
  <si>
    <t>Heatmap grid 3 x 2</t>
  </si>
  <si>
    <t>Env, origin</t>
  </si>
  <si>
    <t>CMDB / AI inventory + profile table</t>
  </si>
  <si>
    <t>Informational</t>
  </si>
  <si>
    <t>Agent list</t>
  </si>
  <si>
    <t>Control coverage by tier x role</t>
  </si>
  <si>
    <t>Controls passing / controls required for that tier-role column</t>
  </si>
  <si>
    <t>Heatmap with %</t>
  </si>
  <si>
    <t>Env, domain</t>
  </si>
  <si>
    <t>Control compliance table</t>
  </si>
  <si>
    <t>100% Critical, 95% Standard, 90% Low</t>
  </si>
  <si>
    <t>Failing controls list</t>
  </si>
  <si>
    <t>Coverage by control domain</t>
  </si>
  <si>
    <t>Pass % per domain (Approval, Identity, Authorization, Delegation, Runtime, Observability, Assurance, Governance)</t>
  </si>
  <si>
    <t>Horizontal bar</t>
  </si>
  <si>
    <t>Tier, role</t>
  </si>
  <si>
    <t>As above</t>
  </si>
  <si>
    <t>Controls in domain</t>
  </si>
  <si>
    <t>Profile version currency</t>
  </si>
  <si>
    <t>% agents on current framework profile version</t>
  </si>
  <si>
    <t>Single score + trend</t>
  </si>
  <si>
    <t>Profile table</t>
  </si>
  <si>
    <t>100% within 30 days of new version</t>
  </si>
  <si>
    <t>Agents on old version</t>
  </si>
  <si>
    <t>Supervisor tier integrity</t>
  </si>
  <si>
    <t>Supervisors whose tier &lt; highest bound worker tier</t>
  </si>
  <si>
    <t>Single score</t>
  </si>
  <si>
    <t>Env</t>
  </si>
  <si>
    <t>Binding table + profile table</t>
  </si>
  <si>
    <t>0</t>
  </si>
  <si>
    <t>Supervisor + worker list</t>
  </si>
  <si>
    <t>Delegation graph health</t>
  </si>
  <si>
    <t>Calls outside bound graph, max observed depth, fan-out limit hits, loop-guard trips</t>
  </si>
  <si>
    <t>Scorecards + graph</t>
  </si>
  <si>
    <t>Supervisor, env</t>
  </si>
  <si>
    <t>MCP Gateway via Dynatrace</t>
  </si>
  <si>
    <t>0 out-of-graph calls</t>
  </si>
  <si>
    <t>Trace in Dynatrace</t>
  </si>
  <si>
    <t>Actor-chain completeness</t>
  </si>
  <si>
    <t>% worker calls carrying full user + supervisor actor chain</t>
  </si>
  <si>
    <t>Dynatrace / Splunk</t>
  </si>
  <si>
    <t>100% Critical</t>
  </si>
  <si>
    <t>Offending calls in Splunk</t>
  </si>
  <si>
    <t>Human-approval compliance</t>
  </si>
  <si>
    <t>Write actions executed without required human approval</t>
  </si>
  <si>
    <t>MCP Gateway logs (Splunk)</t>
  </si>
  <si>
    <t>Log events</t>
  </si>
  <si>
    <t>Supervisors with business API roles</t>
  </si>
  <si>
    <t>Supervisors holding any business API app role</t>
  </si>
  <si>
    <t>Entra / Oasis</t>
  </si>
  <si>
    <t>Role assignments</t>
  </si>
  <si>
    <t>Credential posture by tier</t>
  </si>
  <si>
    <t>Credential type mix vs allowed type for tier</t>
  </si>
  <si>
    <t>Stacked bar</t>
  </si>
  <si>
    <t>Tier, env</t>
  </si>
  <si>
    <t>Entra / Key Vault / Oasis</t>
  </si>
  <si>
    <t>0 secrets. 0 certs for Critical</t>
  </si>
  <si>
    <t>Identity detail</t>
  </si>
  <si>
    <t>Open findings past SLA by tier</t>
  </si>
  <si>
    <t>Oasis + Wiz findings past tier SLA</t>
  </si>
  <si>
    <t>Stacked bar by source</t>
  </si>
  <si>
    <t>Tier, severity</t>
  </si>
  <si>
    <t>Findings table</t>
  </si>
  <si>
    <t>ServiceNow tickets</t>
  </si>
  <si>
    <t>Recertification status</t>
  </si>
  <si>
    <t>Due / overdue by tier cadence, incl. supervisor binding lists</t>
  </si>
  <si>
    <t>Bar</t>
  </si>
  <si>
    <t>Owner group</t>
  </si>
  <si>
    <t>ServiceNow</t>
  </si>
  <si>
    <t>0 overdue</t>
  </si>
  <si>
    <t>Recert tasks</t>
  </si>
  <si>
    <t>Illustrative sample - replace with real data</t>
  </si>
  <si>
    <t>Shows how the Coverage page rolls up. Tier is computed with the Classification rules. Yes/No = control status.</t>
  </si>
  <si>
    <t>Agent</t>
  </si>
  <si>
    <t>Origin</t>
  </si>
  <si>
    <t>Data class</t>
  </si>
  <si>
    <t>Highest bound worker tier</t>
  </si>
  <si>
    <t>Base #</t>
  </si>
  <si>
    <t>Effective tier #</t>
  </si>
  <si>
    <t>Callee binding</t>
  </si>
  <si>
    <t>Trace propagation</t>
  </si>
  <si>
    <t>Recert current</t>
  </si>
  <si>
    <t>Coverage %</t>
  </si>
  <si>
    <t>Contract Orchestrator</t>
  </si>
  <si>
    <t>Agent 365</t>
  </si>
  <si>
    <t>Yes</t>
  </si>
  <si>
    <t>Clause Extractor</t>
  </si>
  <si>
    <t>Claude</t>
  </si>
  <si>
    <t>Contract Redliner</t>
  </si>
  <si>
    <t>No</t>
  </si>
  <si>
    <t>Support Triage Supervisor</t>
  </si>
  <si>
    <t>KB Search Worker</t>
  </si>
  <si>
    <t>Refund Worker</t>
  </si>
  <si>
    <t>Report Summarizer</t>
  </si>
  <si>
    <t>Ops Research Supervisor</t>
  </si>
  <si>
    <t>Coverage roll-up (widget 1 and 2)</t>
  </si>
  <si>
    <t>Supervisor - agents</t>
  </si>
  <si>
    <t>Supervisor - avg coverage</t>
  </si>
  <si>
    <t>Worker - agents</t>
  </si>
  <si>
    <t>Worker - avg coverage</t>
  </si>
  <si>
    <t>Total</t>
  </si>
  <si>
    <t>Supervisor tier integrity (widget 5)</t>
  </si>
  <si>
    <t>Check</t>
  </si>
  <si>
    <t>Supervisors whose effective tier is below highest bound worker tier</t>
  </si>
  <si>
    <t>Controls failing (No) across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</si>
</sst>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28251D"/>
      <name val="Calibri"/>
      <charset val="1"/>
    </font>
    <font>
      <sz val="11"/>
      <color rgb="FF7A7974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name val="Calibri"/>
      <charset val="1"/>
    </font>
    <font>
      <b/>
      <sz val="12"/>
      <name val="Calibri"/>
      <charset val="1"/>
    </font>
    <font>
      <b/>
      <sz val="11"/>
      <color rgb="FF28251D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E4EFDC"/>
        <bgColor rgb="FFF2F2F2"/>
      </patternFill>
    </fill>
    <fill>
      <patternFill patternType="solid">
        <fgColor rgb="FFFBEBDD"/>
        <bgColor rgb="FFF6E3EC"/>
      </patternFill>
    </fill>
    <fill>
      <patternFill patternType="solid">
        <fgColor rgb="FFF6E3EC"/>
        <bgColor rgb="FFFBEBDD"/>
      </patternFill>
    </fill>
    <fill>
      <patternFill patternType="solid">
        <fgColor rgb="FFFFF7E0"/>
        <bgColor rgb="FFFBEBDD"/>
      </patternFill>
    </fill>
    <fill>
      <patternFill patternType="solid">
        <fgColor rgb="FFF2F2F2"/>
        <bgColor rgb="FFFFF7E0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7" fillId="0" borderId="0" xfId="0" applyFont="1"/>
    <xf numFmtId="0" fontId="5" fillId="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F6E3EC"/>
        </patternFill>
      </fill>
    </dxf>
    <dxf>
      <fill>
        <patternFill>
          <bgColor rgb="FFE4EFDC"/>
        </patternFill>
      </fill>
    </dxf>
    <dxf>
      <fill>
        <patternFill>
          <bgColor rgb="FFFBEBDD"/>
        </patternFill>
      </fill>
    </dxf>
    <dxf>
      <fill>
        <patternFill>
          <bgColor rgb="FFF6E3EC"/>
        </patternFill>
      </fill>
    </dxf>
    <dxf>
      <fill>
        <patternFill>
          <bgColor rgb="FFE4EFDC"/>
        </patternFill>
      </fill>
    </dxf>
    <dxf>
      <fill>
        <patternFill>
          <bgColor rgb="FFFBEBDD"/>
        </patternFill>
      </fill>
    </dxf>
    <dxf>
      <fill>
        <patternFill>
          <bgColor rgb="FFF6E3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FF7E0"/>
      <rgbColor rgb="FFF2F2F2"/>
      <rgbColor rgb="FF660066"/>
      <rgbColor rgb="FFFF8080"/>
      <rgbColor rgb="FF0066CC"/>
      <rgbColor rgb="FFF6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DC"/>
      <rgbColor rgb="FFFBEB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1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3" width="120" customWidth="1"/>
  </cols>
  <sheetData>
    <row r="2" spans="2:3" ht="21" x14ac:dyDescent="0.25">
      <c r="B2" s="1" t="s">
        <v>0</v>
      </c>
    </row>
    <row r="3" spans="2:3" x14ac:dyDescent="0.2">
      <c r="B3" s="2" t="s">
        <v>1</v>
      </c>
    </row>
    <row r="5" spans="2:3" ht="16" x14ac:dyDescent="0.2">
      <c r="B5" s="3" t="s">
        <v>2</v>
      </c>
      <c r="C5" s="3" t="s">
        <v>3</v>
      </c>
    </row>
    <row r="6" spans="2:3" ht="30" x14ac:dyDescent="0.2">
      <c r="B6" s="4" t="s">
        <v>4</v>
      </c>
      <c r="C6" s="5" t="s">
        <v>5</v>
      </c>
    </row>
    <row r="7" spans="2:3" ht="30" x14ac:dyDescent="0.2">
      <c r="B7" s="4" t="s">
        <v>6</v>
      </c>
      <c r="C7" s="5" t="s">
        <v>7</v>
      </c>
    </row>
    <row r="8" spans="2:3" ht="30" x14ac:dyDescent="0.2">
      <c r="B8" s="4" t="s">
        <v>8</v>
      </c>
      <c r="C8" s="5" t="s">
        <v>9</v>
      </c>
    </row>
    <row r="9" spans="2:3" ht="30" x14ac:dyDescent="0.2">
      <c r="B9" s="4" t="s">
        <v>10</v>
      </c>
      <c r="C9" s="5" t="s">
        <v>11</v>
      </c>
    </row>
    <row r="10" spans="2:3" ht="30" x14ac:dyDescent="0.2">
      <c r="B10" s="4" t="s">
        <v>12</v>
      </c>
      <c r="C10" s="5" t="s">
        <v>13</v>
      </c>
    </row>
    <row r="11" spans="2:3" ht="30" x14ac:dyDescent="0.2">
      <c r="B11" s="4" t="s">
        <v>14</v>
      </c>
      <c r="C11" s="5" t="s">
        <v>15</v>
      </c>
    </row>
    <row r="12" spans="2:3" ht="30" x14ac:dyDescent="0.2">
      <c r="B12" s="4" t="s">
        <v>16</v>
      </c>
      <c r="C12" s="5" t="s">
        <v>17</v>
      </c>
    </row>
    <row r="13" spans="2:3" x14ac:dyDescent="0.2">
      <c r="B13" s="4" t="s">
        <v>18</v>
      </c>
      <c r="C13" s="5" t="s">
        <v>19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44"/>
  <sheetViews>
    <sheetView showGridLines="0" topLeftCell="A17" zoomScale="125" zoomScaleNormal="100" workbookViewId="0"/>
  </sheetViews>
  <sheetFormatPr baseColWidth="10" defaultColWidth="8.6640625" defaultRowHeight="15" x14ac:dyDescent="0.2"/>
  <cols>
    <col min="1" max="1" width="3" customWidth="1"/>
    <col min="2" max="2" width="40" customWidth="1"/>
    <col min="3" max="3" width="24" customWidth="1"/>
    <col min="4" max="4" width="58" customWidth="1"/>
    <col min="5" max="5" width="3" customWidth="1"/>
    <col min="6" max="7" width="30" customWidth="1"/>
    <col min="8" max="8" width="34" customWidth="1"/>
    <col min="9" max="9" width="60" customWidth="1"/>
  </cols>
  <sheetData>
    <row r="2" spans="2:9" ht="21" x14ac:dyDescent="0.25">
      <c r="B2" s="1" t="s">
        <v>20</v>
      </c>
    </row>
    <row r="3" spans="2:9" x14ac:dyDescent="0.2">
      <c r="B3" s="2" t="s">
        <v>21</v>
      </c>
    </row>
    <row r="5" spans="2:9" ht="16" x14ac:dyDescent="0.2">
      <c r="B5" s="3" t="s">
        <v>22</v>
      </c>
      <c r="C5" s="3" t="s">
        <v>23</v>
      </c>
      <c r="D5" s="3" t="s">
        <v>24</v>
      </c>
      <c r="F5" s="6" t="s">
        <v>25</v>
      </c>
    </row>
    <row r="6" spans="2:9" ht="16" x14ac:dyDescent="0.2">
      <c r="B6" s="5" t="s">
        <v>26</v>
      </c>
      <c r="C6" s="5">
        <v>1</v>
      </c>
      <c r="D6" s="5" t="s">
        <v>27</v>
      </c>
      <c r="F6" s="3" t="s">
        <v>28</v>
      </c>
      <c r="G6" s="3" t="s">
        <v>26</v>
      </c>
      <c r="H6" s="3" t="s">
        <v>29</v>
      </c>
      <c r="I6" s="3" t="s">
        <v>30</v>
      </c>
    </row>
    <row r="7" spans="2:9" x14ac:dyDescent="0.2">
      <c r="B7" s="5" t="s">
        <v>29</v>
      </c>
      <c r="C7" s="5">
        <v>2</v>
      </c>
      <c r="D7" s="5" t="s">
        <v>31</v>
      </c>
      <c r="F7" s="4" t="s">
        <v>32</v>
      </c>
      <c r="G7" s="7" t="str">
        <f>INDEX($B$16:$B$18,IF($C$11+$C$6&gt;=5,3,IF($C$11+$C$6=4,2,1)))</f>
        <v>Low</v>
      </c>
      <c r="H7" s="7" t="str">
        <f>INDEX($B$16:$B$18,IF($C$11+$C$7&gt;=5,3,IF($C$11+$C$7=4,2,1)))</f>
        <v>Low</v>
      </c>
      <c r="I7" s="7" t="str">
        <f>INDEX($B$16:$B$18,IF($C$11+$C$8&gt;=5,3,IF($C$11+$C$8=4,2,1)))</f>
        <v>Standard</v>
      </c>
    </row>
    <row r="8" spans="2:9" x14ac:dyDescent="0.2">
      <c r="B8" s="5" t="s">
        <v>30</v>
      </c>
      <c r="C8" s="5">
        <v>3</v>
      </c>
      <c r="D8" s="5" t="s">
        <v>33</v>
      </c>
      <c r="F8" s="4" t="s">
        <v>30</v>
      </c>
      <c r="G8" s="7" t="str">
        <f>INDEX($B$16:$B$18,IF($C$12+$C$6&gt;=5,3,IF($C$12+$C$6=4,2,1)))</f>
        <v>Low</v>
      </c>
      <c r="H8" s="7" t="str">
        <f>INDEX($B$16:$B$18,IF($C$12+$C$7&gt;=5,3,IF($C$12+$C$7=4,2,1)))</f>
        <v>Standard</v>
      </c>
      <c r="I8" s="7" t="str">
        <f>INDEX($B$16:$B$18,IF($C$12+$C$8&gt;=5,3,IF($C$12+$C$8=4,2,1)))</f>
        <v>Critical</v>
      </c>
    </row>
    <row r="9" spans="2:9" x14ac:dyDescent="0.2">
      <c r="F9" s="4" t="s">
        <v>34</v>
      </c>
      <c r="G9" s="7" t="str">
        <f>INDEX($B$16:$B$18,IF($C$13+$C$6&gt;=5,3,IF($C$13+$C$6=4,2,1)))</f>
        <v>Standard</v>
      </c>
      <c r="H9" s="7" t="str">
        <f>INDEX($B$16:$B$18,IF($C$13+$C$7&gt;=5,3,IF($C$13+$C$7=4,2,1)))</f>
        <v>Critical</v>
      </c>
      <c r="I9" s="7" t="str">
        <f>INDEX($B$16:$B$18,IF($C$13+$C$8&gt;=5,3,IF($C$13+$C$8=4,2,1)))</f>
        <v>Critical</v>
      </c>
    </row>
    <row r="10" spans="2:9" ht="16" x14ac:dyDescent="0.2">
      <c r="B10" s="3" t="s">
        <v>35</v>
      </c>
      <c r="C10" s="3" t="s">
        <v>23</v>
      </c>
      <c r="D10" s="3" t="s">
        <v>24</v>
      </c>
    </row>
    <row r="11" spans="2:9" x14ac:dyDescent="0.2">
      <c r="B11" s="5" t="s">
        <v>32</v>
      </c>
      <c r="C11" s="5">
        <v>1</v>
      </c>
      <c r="D11" s="5" t="s">
        <v>36</v>
      </c>
      <c r="F11" s="6" t="s">
        <v>37</v>
      </c>
    </row>
    <row r="12" spans="2:9" ht="16" x14ac:dyDescent="0.2">
      <c r="B12" s="5" t="s">
        <v>30</v>
      </c>
      <c r="C12" s="5">
        <v>2</v>
      </c>
      <c r="D12" s="5" t="s">
        <v>38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9" x14ac:dyDescent="0.2">
      <c r="B13" s="5" t="s">
        <v>34</v>
      </c>
      <c r="C13" s="5">
        <v>3</v>
      </c>
      <c r="D13" s="5" t="s">
        <v>43</v>
      </c>
      <c r="F13" s="5">
        <v>1</v>
      </c>
      <c r="G13" s="5" t="s">
        <v>44</v>
      </c>
      <c r="H13" s="5" t="s">
        <v>45</v>
      </c>
      <c r="I13" s="5" t="s">
        <v>46</v>
      </c>
    </row>
    <row r="14" spans="2:9" x14ac:dyDescent="0.2">
      <c r="F14" s="5">
        <v>2</v>
      </c>
      <c r="G14" s="5" t="s">
        <v>47</v>
      </c>
      <c r="H14" s="5" t="s">
        <v>48</v>
      </c>
      <c r="I14" s="5" t="s">
        <v>49</v>
      </c>
    </row>
    <row r="15" spans="2:9" ht="16" x14ac:dyDescent="0.2">
      <c r="B15" s="3" t="s">
        <v>50</v>
      </c>
      <c r="C15" s="3" t="s">
        <v>51</v>
      </c>
      <c r="D15" s="3" t="s">
        <v>52</v>
      </c>
      <c r="F15" s="5">
        <v>3</v>
      </c>
      <c r="G15" s="5" t="s">
        <v>53</v>
      </c>
      <c r="H15" s="5" t="s">
        <v>54</v>
      </c>
      <c r="I15" s="5" t="s">
        <v>55</v>
      </c>
    </row>
    <row r="16" spans="2:9" x14ac:dyDescent="0.2">
      <c r="B16" s="8" t="s">
        <v>26</v>
      </c>
      <c r="C16" s="8">
        <v>1</v>
      </c>
      <c r="D16" s="8" t="s">
        <v>56</v>
      </c>
      <c r="F16" s="5">
        <v>4</v>
      </c>
      <c r="G16" s="5" t="s">
        <v>57</v>
      </c>
      <c r="H16" s="5" t="s">
        <v>58</v>
      </c>
      <c r="I16" s="5" t="s">
        <v>59</v>
      </c>
    </row>
    <row r="17" spans="2:6" x14ac:dyDescent="0.2">
      <c r="B17" s="9" t="s">
        <v>32</v>
      </c>
      <c r="C17" s="9">
        <v>2</v>
      </c>
      <c r="D17" s="9" t="s">
        <v>60</v>
      </c>
    </row>
    <row r="18" spans="2:6" x14ac:dyDescent="0.2">
      <c r="B18" s="10" t="s">
        <v>61</v>
      </c>
      <c r="C18" s="10">
        <v>3</v>
      </c>
      <c r="D18" s="10" t="s">
        <v>62</v>
      </c>
    </row>
    <row r="20" spans="2:6" ht="16" x14ac:dyDescent="0.2">
      <c r="B20" s="3" t="s">
        <v>63</v>
      </c>
      <c r="D20" s="3" t="s">
        <v>64</v>
      </c>
      <c r="F20" s="3" t="s">
        <v>65</v>
      </c>
    </row>
    <row r="21" spans="2:6" x14ac:dyDescent="0.2">
      <c r="B21" s="5" t="s">
        <v>66</v>
      </c>
      <c r="D21" s="5" t="s">
        <v>67</v>
      </c>
      <c r="F21" s="5" t="s">
        <v>68</v>
      </c>
    </row>
    <row r="22" spans="2:6" x14ac:dyDescent="0.2">
      <c r="B22" s="5" t="s">
        <v>69</v>
      </c>
      <c r="D22" s="5" t="s">
        <v>70</v>
      </c>
      <c r="F22" s="5" t="s">
        <v>71</v>
      </c>
    </row>
    <row r="23" spans="2:6" x14ac:dyDescent="0.2">
      <c r="B23" s="5" t="s">
        <v>72</v>
      </c>
      <c r="D23" s="5" t="s">
        <v>73</v>
      </c>
    </row>
    <row r="24" spans="2:6" x14ac:dyDescent="0.2">
      <c r="B24" s="5" t="s">
        <v>74</v>
      </c>
    </row>
    <row r="27" spans="2:6" ht="16" x14ac:dyDescent="0.2">
      <c r="B27" s="11" t="s">
        <v>75</v>
      </c>
    </row>
    <row r="28" spans="2:6" ht="16" x14ac:dyDescent="0.2">
      <c r="B28" s="3" t="s">
        <v>76</v>
      </c>
      <c r="C28" s="3" t="s">
        <v>77</v>
      </c>
    </row>
    <row r="29" spans="2:6" x14ac:dyDescent="0.2">
      <c r="B29" s="4" t="s">
        <v>78</v>
      </c>
      <c r="C29" s="12" t="s">
        <v>30</v>
      </c>
    </row>
    <row r="30" spans="2:6" x14ac:dyDescent="0.2">
      <c r="B30" s="4" t="s">
        <v>79</v>
      </c>
      <c r="C30" s="12" t="s">
        <v>30</v>
      </c>
    </row>
    <row r="31" spans="2:6" x14ac:dyDescent="0.2">
      <c r="B31" s="4" t="s">
        <v>63</v>
      </c>
      <c r="C31" s="12" t="s">
        <v>72</v>
      </c>
    </row>
    <row r="32" spans="2:6" x14ac:dyDescent="0.2">
      <c r="B32" s="4" t="s">
        <v>64</v>
      </c>
      <c r="C32" s="12" t="s">
        <v>70</v>
      </c>
    </row>
    <row r="33" spans="2:3" x14ac:dyDescent="0.2">
      <c r="B33" s="4" t="s">
        <v>65</v>
      </c>
      <c r="C33" s="12" t="s">
        <v>68</v>
      </c>
    </row>
    <row r="34" spans="2:3" x14ac:dyDescent="0.2">
      <c r="B34" s="4" t="s">
        <v>80</v>
      </c>
      <c r="C34" s="12" t="s">
        <v>61</v>
      </c>
    </row>
    <row r="36" spans="2:3" ht="16" x14ac:dyDescent="0.2">
      <c r="B36" s="3" t="s">
        <v>81</v>
      </c>
      <c r="C36" s="3" t="s">
        <v>82</v>
      </c>
    </row>
    <row r="37" spans="2:3" x14ac:dyDescent="0.2">
      <c r="B37" s="4" t="s">
        <v>83</v>
      </c>
      <c r="C37" s="13">
        <f>INDEX($C$6:$C$8,MATCH(C29,$B$6:$B$8,0))</f>
        <v>3</v>
      </c>
    </row>
    <row r="38" spans="2:3" x14ac:dyDescent="0.2">
      <c r="B38" s="4" t="s">
        <v>84</v>
      </c>
      <c r="C38" s="13">
        <f>INDEX($C$11:$C$13,MATCH(C30,$B$11:$B$13,0))</f>
        <v>2</v>
      </c>
    </row>
    <row r="39" spans="2:3" x14ac:dyDescent="0.2">
      <c r="B39" s="4" t="s">
        <v>85</v>
      </c>
      <c r="C39" s="13">
        <f>IF(C37+C38&gt;=5,3,IF(C37+C38=4,2,1))</f>
        <v>3</v>
      </c>
    </row>
    <row r="40" spans="2:3" x14ac:dyDescent="0.2">
      <c r="B40" s="4" t="s">
        <v>86</v>
      </c>
      <c r="C40" s="13">
        <f>IF(C31="Restricted",3,C39)</f>
        <v>3</v>
      </c>
    </row>
    <row r="41" spans="2:3" x14ac:dyDescent="0.2">
      <c r="B41" s="4" t="s">
        <v>87</v>
      </c>
      <c r="C41" s="13">
        <f>IF(C32="Autonomous write",MIN(3,C40+1),C40)</f>
        <v>3</v>
      </c>
    </row>
    <row r="42" spans="2:3" x14ac:dyDescent="0.2">
      <c r="B42" s="4" t="s">
        <v>88</v>
      </c>
      <c r="C42" s="13">
        <f>IF(C33="Supervisor",MAX(C41,IFERROR(INDEX($C$16:$C$18,MATCH(C34,$B$16:$B$18,0)),1)),C41)</f>
        <v>3</v>
      </c>
    </row>
    <row r="43" spans="2:3" ht="16" x14ac:dyDescent="0.2">
      <c r="B43" s="4" t="s">
        <v>89</v>
      </c>
      <c r="C43" s="14" t="str">
        <f>INDEX($B$16:$B$18,C42)</f>
        <v>Critical</v>
      </c>
    </row>
    <row r="44" spans="2:3" x14ac:dyDescent="0.2">
      <c r="B44" s="4" t="s">
        <v>90</v>
      </c>
      <c r="C44" s="13" t="str">
        <f>C43&amp;" - "&amp;C33</f>
        <v>Critical - Supervisor</v>
      </c>
    </row>
  </sheetData>
  <conditionalFormatting sqref="G7:I9">
    <cfRule type="cellIs" dxfId="6" priority="2" operator="equal">
      <formula>"Critical"</formula>
    </cfRule>
    <cfRule type="cellIs" dxfId="5" priority="3" operator="equal">
      <formula>"Standard"</formula>
    </cfRule>
    <cfRule type="cellIs" dxfId="4" priority="4" operator="equal">
      <formula>"Low"</formula>
    </cfRule>
  </conditionalFormatting>
  <dataValidations count="6">
    <dataValidation type="list" allowBlank="1" sqref="C29" xr:uid="{00000000-0002-0000-0100-000000000000}">
      <formula1>$B$6:$B$8</formula1>
      <formula2>0</formula2>
    </dataValidation>
    <dataValidation type="list" allowBlank="1" sqref="C30" xr:uid="{00000000-0002-0000-0100-000001000000}">
      <formula1>$B$11:$B$13</formula1>
      <formula2>0</formula2>
    </dataValidation>
    <dataValidation type="list" allowBlank="1" sqref="C31" xr:uid="{00000000-0002-0000-0100-000002000000}">
      <formula1>$B$21:$B$24</formula1>
      <formula2>0</formula2>
    </dataValidation>
    <dataValidation type="list" allowBlank="1" sqref="C32" xr:uid="{00000000-0002-0000-0100-000003000000}">
      <formula1>$D$21:$D$23</formula1>
      <formula2>0</formula2>
    </dataValidation>
    <dataValidation type="list" allowBlank="1" sqref="C33" xr:uid="{00000000-0002-0000-0100-000004000000}">
      <formula1>$F$21:$F$22</formula1>
      <formula2>0</formula2>
    </dataValidation>
    <dataValidation type="list" allowBlank="1" sqref="C34" xr:uid="{00000000-0002-0000-0100-000005000000}">
      <formula1>$B$16:$B$18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36"/>
  <sheetViews>
    <sheetView showGridLines="0" zoomScale="136" zoomScaleNormal="100" workbookViewId="0">
      <pane xSplit="4" ySplit="5" topLeftCell="F6" activePane="bottomRight" state="frozen"/>
      <selection pane="topRight" activeCell="E1" sqref="E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3" customWidth="1"/>
    <col min="2" max="2" width="7" customWidth="1"/>
    <col min="3" max="3" width="18" customWidth="1"/>
    <col min="4" max="4" width="24" customWidth="1"/>
    <col min="5" max="5" width="26" customWidth="1"/>
    <col min="6" max="11" width="30" customWidth="1"/>
    <col min="12" max="12" width="26" customWidth="1"/>
    <col min="13" max="13" width="30" customWidth="1"/>
  </cols>
  <sheetData>
    <row r="2" spans="2:13" ht="21" x14ac:dyDescent="0.25">
      <c r="B2" s="1" t="s">
        <v>91</v>
      </c>
    </row>
    <row r="3" spans="2:13" x14ac:dyDescent="0.2">
      <c r="B3" s="2" t="s">
        <v>92</v>
      </c>
    </row>
    <row r="5" spans="2:13" ht="16" x14ac:dyDescent="0.2">
      <c r="B5" s="3" t="s">
        <v>93</v>
      </c>
      <c r="C5" s="3" t="s">
        <v>94</v>
      </c>
      <c r="D5" s="3" t="s">
        <v>95</v>
      </c>
      <c r="E5" s="3" t="s">
        <v>96</v>
      </c>
      <c r="F5" s="15" t="s">
        <v>97</v>
      </c>
      <c r="G5" s="15" t="s">
        <v>98</v>
      </c>
      <c r="H5" s="16" t="s">
        <v>99</v>
      </c>
      <c r="I5" s="16" t="s">
        <v>100</v>
      </c>
      <c r="J5" s="17" t="s">
        <v>101</v>
      </c>
      <c r="K5" s="17" t="s">
        <v>102</v>
      </c>
      <c r="L5" s="3" t="s">
        <v>103</v>
      </c>
      <c r="M5" s="3" t="s">
        <v>104</v>
      </c>
    </row>
    <row r="6" spans="2:13" ht="30" x14ac:dyDescent="0.2">
      <c r="B6" s="18" t="s">
        <v>105</v>
      </c>
      <c r="C6" s="19" t="s">
        <v>106</v>
      </c>
      <c r="D6" s="4" t="s">
        <v>107</v>
      </c>
      <c r="E6" s="5" t="s">
        <v>108</v>
      </c>
      <c r="F6" s="5" t="s">
        <v>109</v>
      </c>
      <c r="G6" s="5" t="s">
        <v>110</v>
      </c>
      <c r="H6" s="5" t="s">
        <v>111</v>
      </c>
      <c r="I6" s="5" t="s">
        <v>112</v>
      </c>
      <c r="J6" s="5" t="s">
        <v>113</v>
      </c>
      <c r="K6" s="5" t="s">
        <v>114</v>
      </c>
      <c r="L6" s="5" t="s">
        <v>115</v>
      </c>
      <c r="M6" s="5" t="s">
        <v>116</v>
      </c>
    </row>
    <row r="7" spans="2:13" ht="45" x14ac:dyDescent="0.2">
      <c r="B7" s="18" t="s">
        <v>117</v>
      </c>
      <c r="C7" s="19" t="s">
        <v>106</v>
      </c>
      <c r="D7" s="4" t="s">
        <v>118</v>
      </c>
      <c r="E7" s="5" t="s">
        <v>119</v>
      </c>
      <c r="F7" s="5" t="s">
        <v>120</v>
      </c>
      <c r="G7" s="5" t="s">
        <v>121</v>
      </c>
      <c r="H7" s="5" t="s">
        <v>122</v>
      </c>
      <c r="I7" s="5" t="s">
        <v>123</v>
      </c>
      <c r="J7" s="5" t="s">
        <v>124</v>
      </c>
      <c r="K7" s="5" t="s">
        <v>125</v>
      </c>
      <c r="L7" s="5" t="s">
        <v>126</v>
      </c>
      <c r="M7" s="5" t="s">
        <v>127</v>
      </c>
    </row>
    <row r="8" spans="2:13" ht="30" x14ac:dyDescent="0.2">
      <c r="B8" s="18" t="s">
        <v>128</v>
      </c>
      <c r="C8" s="19" t="s">
        <v>106</v>
      </c>
      <c r="D8" s="4" t="s">
        <v>129</v>
      </c>
      <c r="E8" s="5" t="s">
        <v>130</v>
      </c>
      <c r="F8" s="5" t="s">
        <v>131</v>
      </c>
      <c r="G8" s="5" t="s">
        <v>131</v>
      </c>
      <c r="H8" s="5" t="s">
        <v>132</v>
      </c>
      <c r="I8" s="5" t="s">
        <v>132</v>
      </c>
      <c r="J8" s="5" t="s">
        <v>132</v>
      </c>
      <c r="K8" s="5" t="s">
        <v>132</v>
      </c>
      <c r="L8" s="5" t="s">
        <v>133</v>
      </c>
      <c r="M8" s="5" t="s">
        <v>134</v>
      </c>
    </row>
    <row r="9" spans="2:13" ht="30" x14ac:dyDescent="0.2">
      <c r="B9" s="18" t="s">
        <v>135</v>
      </c>
      <c r="C9" s="19" t="s">
        <v>106</v>
      </c>
      <c r="D9" s="4" t="s">
        <v>136</v>
      </c>
      <c r="E9" s="5" t="s">
        <v>137</v>
      </c>
      <c r="F9" s="5" t="s">
        <v>138</v>
      </c>
      <c r="G9" s="5" t="s">
        <v>139</v>
      </c>
      <c r="H9" s="5" t="s">
        <v>140</v>
      </c>
      <c r="I9" s="5" t="s">
        <v>141</v>
      </c>
      <c r="J9" s="5" t="s">
        <v>142</v>
      </c>
      <c r="K9" s="5" t="s">
        <v>143</v>
      </c>
      <c r="L9" s="5" t="s">
        <v>144</v>
      </c>
      <c r="M9" s="5" t="s">
        <v>145</v>
      </c>
    </row>
    <row r="10" spans="2:13" x14ac:dyDescent="0.2">
      <c r="B10" s="18" t="s">
        <v>146</v>
      </c>
      <c r="C10" s="19" t="s">
        <v>106</v>
      </c>
      <c r="D10" s="4" t="s">
        <v>147</v>
      </c>
      <c r="E10" s="5" t="s">
        <v>148</v>
      </c>
      <c r="F10" s="5" t="s">
        <v>149</v>
      </c>
      <c r="G10" s="5" t="s">
        <v>149</v>
      </c>
      <c r="H10" s="5" t="s">
        <v>150</v>
      </c>
      <c r="I10" s="5" t="s">
        <v>150</v>
      </c>
      <c r="J10" s="5" t="s">
        <v>151</v>
      </c>
      <c r="K10" s="5" t="s">
        <v>151</v>
      </c>
      <c r="L10" s="5" t="s">
        <v>152</v>
      </c>
      <c r="M10" s="5" t="s">
        <v>153</v>
      </c>
    </row>
    <row r="11" spans="2:13" ht="45" x14ac:dyDescent="0.2">
      <c r="B11" s="18" t="s">
        <v>154</v>
      </c>
      <c r="C11" s="19" t="s">
        <v>106</v>
      </c>
      <c r="D11" s="4" t="s">
        <v>155</v>
      </c>
      <c r="E11" s="5" t="s">
        <v>156</v>
      </c>
      <c r="F11" s="5" t="s">
        <v>157</v>
      </c>
      <c r="G11" s="5" t="s">
        <v>158</v>
      </c>
      <c r="H11" s="5" t="s">
        <v>159</v>
      </c>
      <c r="I11" s="5" t="s">
        <v>160</v>
      </c>
      <c r="J11" s="5" t="s">
        <v>159</v>
      </c>
      <c r="K11" s="5" t="s">
        <v>160</v>
      </c>
      <c r="L11" s="5" t="s">
        <v>161</v>
      </c>
      <c r="M11" s="5" t="s">
        <v>162</v>
      </c>
    </row>
    <row r="12" spans="2:13" ht="30" x14ac:dyDescent="0.2">
      <c r="B12" s="18" t="s">
        <v>163</v>
      </c>
      <c r="C12" s="19" t="s">
        <v>164</v>
      </c>
      <c r="D12" s="4" t="s">
        <v>165</v>
      </c>
      <c r="E12" s="5" t="s">
        <v>166</v>
      </c>
      <c r="F12" s="5" t="s">
        <v>167</v>
      </c>
      <c r="G12" s="5" t="s">
        <v>167</v>
      </c>
      <c r="H12" s="5" t="s">
        <v>167</v>
      </c>
      <c r="I12" s="5" t="s">
        <v>167</v>
      </c>
      <c r="J12" s="5" t="s">
        <v>167</v>
      </c>
      <c r="K12" s="5" t="s">
        <v>167</v>
      </c>
      <c r="L12" s="5" t="s">
        <v>168</v>
      </c>
      <c r="M12" s="5" t="s">
        <v>169</v>
      </c>
    </row>
    <row r="13" spans="2:13" ht="30" x14ac:dyDescent="0.2">
      <c r="B13" s="18" t="s">
        <v>170</v>
      </c>
      <c r="C13" s="19" t="s">
        <v>164</v>
      </c>
      <c r="D13" s="4" t="s">
        <v>171</v>
      </c>
      <c r="E13" s="5" t="s">
        <v>172</v>
      </c>
      <c r="F13" s="5" t="s">
        <v>173</v>
      </c>
      <c r="G13" s="5" t="s">
        <v>173</v>
      </c>
      <c r="H13" s="5" t="s">
        <v>174</v>
      </c>
      <c r="I13" s="5" t="s">
        <v>174</v>
      </c>
      <c r="J13" s="5" t="s">
        <v>175</v>
      </c>
      <c r="K13" s="5" t="s">
        <v>175</v>
      </c>
      <c r="L13" s="5" t="s">
        <v>176</v>
      </c>
      <c r="M13" s="5" t="s">
        <v>177</v>
      </c>
    </row>
    <row r="14" spans="2:13" x14ac:dyDescent="0.2">
      <c r="B14" s="18" t="s">
        <v>178</v>
      </c>
      <c r="C14" s="19" t="s">
        <v>164</v>
      </c>
      <c r="D14" s="4" t="s">
        <v>179</v>
      </c>
      <c r="E14" s="5" t="s">
        <v>180</v>
      </c>
      <c r="F14" s="5" t="s">
        <v>181</v>
      </c>
      <c r="G14" s="5" t="s">
        <v>181</v>
      </c>
      <c r="H14" s="5" t="s">
        <v>182</v>
      </c>
      <c r="I14" s="5" t="s">
        <v>182</v>
      </c>
      <c r="J14" s="5" t="s">
        <v>183</v>
      </c>
      <c r="K14" s="5" t="s">
        <v>183</v>
      </c>
      <c r="L14" s="5" t="s">
        <v>184</v>
      </c>
      <c r="M14" s="5" t="s">
        <v>185</v>
      </c>
    </row>
    <row r="15" spans="2:13" ht="30" x14ac:dyDescent="0.2">
      <c r="B15" s="18" t="s">
        <v>186</v>
      </c>
      <c r="C15" s="19" t="s">
        <v>164</v>
      </c>
      <c r="D15" s="4" t="s">
        <v>187</v>
      </c>
      <c r="E15" s="5" t="s">
        <v>188</v>
      </c>
      <c r="F15" s="5" t="s">
        <v>189</v>
      </c>
      <c r="G15" s="5" t="s">
        <v>189</v>
      </c>
      <c r="H15" s="5" t="s">
        <v>190</v>
      </c>
      <c r="I15" s="5" t="s">
        <v>190</v>
      </c>
      <c r="J15" s="5" t="s">
        <v>191</v>
      </c>
      <c r="K15" s="5" t="s">
        <v>191</v>
      </c>
      <c r="L15" s="5" t="s">
        <v>192</v>
      </c>
      <c r="M15" s="5" t="s">
        <v>193</v>
      </c>
    </row>
    <row r="16" spans="2:13" ht="30" x14ac:dyDescent="0.2">
      <c r="B16" s="18" t="s">
        <v>194</v>
      </c>
      <c r="C16" s="19" t="s">
        <v>195</v>
      </c>
      <c r="D16" s="4" t="s">
        <v>196</v>
      </c>
      <c r="E16" s="5" t="s">
        <v>197</v>
      </c>
      <c r="F16" s="5" t="s">
        <v>198</v>
      </c>
      <c r="G16" s="5" t="s">
        <v>199</v>
      </c>
      <c r="H16" s="5" t="s">
        <v>198</v>
      </c>
      <c r="I16" s="5" t="s">
        <v>199</v>
      </c>
      <c r="J16" s="5" t="s">
        <v>200</v>
      </c>
      <c r="K16" s="5" t="s">
        <v>199</v>
      </c>
      <c r="L16" s="5" t="s">
        <v>201</v>
      </c>
      <c r="M16" s="5" t="s">
        <v>202</v>
      </c>
    </row>
    <row r="17" spans="2:13" ht="30" x14ac:dyDescent="0.2">
      <c r="B17" s="18" t="s">
        <v>203</v>
      </c>
      <c r="C17" s="19" t="s">
        <v>195</v>
      </c>
      <c r="D17" s="4" t="s">
        <v>204</v>
      </c>
      <c r="E17" s="5" t="s">
        <v>205</v>
      </c>
      <c r="F17" s="5" t="s">
        <v>206</v>
      </c>
      <c r="G17" s="5" t="s">
        <v>207</v>
      </c>
      <c r="H17" s="5" t="s">
        <v>208</v>
      </c>
      <c r="I17" s="5" t="s">
        <v>209</v>
      </c>
      <c r="J17" s="5" t="s">
        <v>210</v>
      </c>
      <c r="K17" s="5" t="s">
        <v>211</v>
      </c>
      <c r="L17" s="5" t="s">
        <v>212</v>
      </c>
      <c r="M17" s="5" t="s">
        <v>213</v>
      </c>
    </row>
    <row r="18" spans="2:13" ht="30" x14ac:dyDescent="0.2">
      <c r="B18" s="18" t="s">
        <v>214</v>
      </c>
      <c r="C18" s="19" t="s">
        <v>195</v>
      </c>
      <c r="D18" s="4" t="s">
        <v>215</v>
      </c>
      <c r="E18" s="5" t="s">
        <v>216</v>
      </c>
      <c r="F18" s="5" t="s">
        <v>217</v>
      </c>
      <c r="G18" s="5" t="s">
        <v>218</v>
      </c>
      <c r="H18" s="5" t="s">
        <v>217</v>
      </c>
      <c r="I18" s="5" t="s">
        <v>218</v>
      </c>
      <c r="J18" s="5" t="s">
        <v>217</v>
      </c>
      <c r="K18" s="5" t="s">
        <v>218</v>
      </c>
      <c r="L18" s="5" t="s">
        <v>168</v>
      </c>
      <c r="M18" s="5" t="s">
        <v>219</v>
      </c>
    </row>
    <row r="19" spans="2:13" ht="30" x14ac:dyDescent="0.2">
      <c r="B19" s="18" t="s">
        <v>220</v>
      </c>
      <c r="C19" s="19" t="s">
        <v>221</v>
      </c>
      <c r="D19" s="4" t="s">
        <v>222</v>
      </c>
      <c r="E19" s="5" t="s">
        <v>223</v>
      </c>
      <c r="F19" s="5" t="s">
        <v>224</v>
      </c>
      <c r="G19" s="5" t="s">
        <v>225</v>
      </c>
      <c r="H19" s="5" t="s">
        <v>226</v>
      </c>
      <c r="I19" s="5" t="s">
        <v>225</v>
      </c>
      <c r="J19" s="5" t="s">
        <v>226</v>
      </c>
      <c r="K19" s="5" t="s">
        <v>225</v>
      </c>
      <c r="L19" s="5" t="s">
        <v>227</v>
      </c>
      <c r="M19" s="5" t="s">
        <v>228</v>
      </c>
    </row>
    <row r="20" spans="2:13" x14ac:dyDescent="0.2">
      <c r="B20" s="18" t="s">
        <v>229</v>
      </c>
      <c r="C20" s="19" t="s">
        <v>221</v>
      </c>
      <c r="D20" s="4" t="s">
        <v>230</v>
      </c>
      <c r="E20" s="5" t="s">
        <v>231</v>
      </c>
      <c r="F20" s="5" t="s">
        <v>232</v>
      </c>
      <c r="G20" s="5" t="s">
        <v>233</v>
      </c>
      <c r="H20" s="5" t="s">
        <v>234</v>
      </c>
      <c r="I20" s="5" t="s">
        <v>233</v>
      </c>
      <c r="J20" s="5" t="s">
        <v>234</v>
      </c>
      <c r="K20" s="5" t="s">
        <v>233</v>
      </c>
      <c r="L20" s="5" t="s">
        <v>235</v>
      </c>
      <c r="M20" s="5" t="s">
        <v>236</v>
      </c>
    </row>
    <row r="21" spans="2:13" ht="45" x14ac:dyDescent="0.2">
      <c r="B21" s="18" t="s">
        <v>237</v>
      </c>
      <c r="C21" s="19" t="s">
        <v>221</v>
      </c>
      <c r="D21" s="4" t="s">
        <v>238</v>
      </c>
      <c r="E21" s="5" t="s">
        <v>239</v>
      </c>
      <c r="F21" s="5" t="s">
        <v>240</v>
      </c>
      <c r="G21" s="5" t="s">
        <v>241</v>
      </c>
      <c r="H21" s="5" t="s">
        <v>242</v>
      </c>
      <c r="I21" s="5" t="s">
        <v>241</v>
      </c>
      <c r="J21" s="5" t="s">
        <v>243</v>
      </c>
      <c r="K21" s="5" t="s">
        <v>241</v>
      </c>
      <c r="L21" s="5" t="s">
        <v>244</v>
      </c>
      <c r="M21" s="5" t="s">
        <v>245</v>
      </c>
    </row>
    <row r="22" spans="2:13" ht="30" x14ac:dyDescent="0.2">
      <c r="B22" s="18" t="s">
        <v>246</v>
      </c>
      <c r="C22" s="19" t="s">
        <v>221</v>
      </c>
      <c r="D22" s="4" t="s">
        <v>247</v>
      </c>
      <c r="E22" s="5" t="s">
        <v>248</v>
      </c>
      <c r="F22" s="5" t="s">
        <v>249</v>
      </c>
      <c r="G22" s="5" t="s">
        <v>250</v>
      </c>
      <c r="H22" s="5" t="s">
        <v>249</v>
      </c>
      <c r="I22" s="5" t="s">
        <v>251</v>
      </c>
      <c r="J22" s="5" t="s">
        <v>252</v>
      </c>
      <c r="K22" s="5" t="s">
        <v>253</v>
      </c>
      <c r="L22" s="5" t="s">
        <v>254</v>
      </c>
      <c r="M22" s="5" t="s">
        <v>255</v>
      </c>
    </row>
    <row r="23" spans="2:13" ht="30" x14ac:dyDescent="0.2">
      <c r="B23" s="18" t="s">
        <v>256</v>
      </c>
      <c r="C23" s="19" t="s">
        <v>221</v>
      </c>
      <c r="D23" s="4" t="s">
        <v>257</v>
      </c>
      <c r="E23" s="5" t="s">
        <v>258</v>
      </c>
      <c r="F23" s="5" t="s">
        <v>259</v>
      </c>
      <c r="G23" s="5" t="s">
        <v>260</v>
      </c>
      <c r="H23" s="5" t="s">
        <v>261</v>
      </c>
      <c r="I23" s="5" t="s">
        <v>260</v>
      </c>
      <c r="J23" s="5" t="s">
        <v>262</v>
      </c>
      <c r="K23" s="5" t="s">
        <v>260</v>
      </c>
      <c r="L23" s="5" t="s">
        <v>235</v>
      </c>
      <c r="M23" s="5" t="s">
        <v>263</v>
      </c>
    </row>
    <row r="24" spans="2:13" ht="30" x14ac:dyDescent="0.2">
      <c r="B24" s="18" t="s">
        <v>264</v>
      </c>
      <c r="C24" s="19" t="s">
        <v>221</v>
      </c>
      <c r="D24" s="4" t="s">
        <v>265</v>
      </c>
      <c r="E24" s="5" t="s">
        <v>266</v>
      </c>
      <c r="F24" s="5" t="s">
        <v>267</v>
      </c>
      <c r="G24" s="5" t="s">
        <v>268</v>
      </c>
      <c r="H24" s="5" t="s">
        <v>269</v>
      </c>
      <c r="I24" s="5" t="s">
        <v>268</v>
      </c>
      <c r="J24" s="5" t="s">
        <v>270</v>
      </c>
      <c r="K24" s="5" t="s">
        <v>268</v>
      </c>
      <c r="L24" s="5" t="s">
        <v>235</v>
      </c>
      <c r="M24" s="5" t="s">
        <v>271</v>
      </c>
    </row>
    <row r="25" spans="2:13" ht="30" x14ac:dyDescent="0.2">
      <c r="B25" s="18" t="s">
        <v>272</v>
      </c>
      <c r="C25" s="19" t="s">
        <v>273</v>
      </c>
      <c r="D25" s="4" t="s">
        <v>274</v>
      </c>
      <c r="E25" s="5" t="s">
        <v>275</v>
      </c>
      <c r="F25" s="5" t="s">
        <v>276</v>
      </c>
      <c r="G25" s="5" t="s">
        <v>277</v>
      </c>
      <c r="H25" s="5" t="s">
        <v>278</v>
      </c>
      <c r="I25" s="5" t="s">
        <v>279</v>
      </c>
      <c r="J25" s="5" t="s">
        <v>280</v>
      </c>
      <c r="K25" s="5" t="s">
        <v>280</v>
      </c>
      <c r="L25" s="5" t="s">
        <v>281</v>
      </c>
      <c r="M25" s="5" t="s">
        <v>282</v>
      </c>
    </row>
    <row r="26" spans="2:13" ht="30" x14ac:dyDescent="0.2">
      <c r="B26" s="18" t="s">
        <v>283</v>
      </c>
      <c r="C26" s="19" t="s">
        <v>273</v>
      </c>
      <c r="D26" s="4" t="s">
        <v>284</v>
      </c>
      <c r="E26" s="5" t="s">
        <v>285</v>
      </c>
      <c r="F26" s="5" t="s">
        <v>286</v>
      </c>
      <c r="G26" s="5" t="s">
        <v>287</v>
      </c>
      <c r="H26" s="5" t="s">
        <v>286</v>
      </c>
      <c r="I26" s="5" t="s">
        <v>288</v>
      </c>
      <c r="J26" s="5" t="s">
        <v>289</v>
      </c>
      <c r="K26" s="5" t="s">
        <v>290</v>
      </c>
      <c r="L26" s="5" t="s">
        <v>235</v>
      </c>
      <c r="M26" s="5" t="s">
        <v>291</v>
      </c>
    </row>
    <row r="27" spans="2:13" ht="30" x14ac:dyDescent="0.2">
      <c r="B27" s="18" t="s">
        <v>292</v>
      </c>
      <c r="C27" s="19" t="s">
        <v>273</v>
      </c>
      <c r="D27" s="4" t="s">
        <v>293</v>
      </c>
      <c r="E27" s="5" t="s">
        <v>294</v>
      </c>
      <c r="F27" s="5" t="s">
        <v>295</v>
      </c>
      <c r="G27" s="5" t="s">
        <v>296</v>
      </c>
      <c r="H27" s="5" t="s">
        <v>297</v>
      </c>
      <c r="I27" s="5" t="s">
        <v>298</v>
      </c>
      <c r="J27" s="5" t="s">
        <v>299</v>
      </c>
      <c r="K27" s="5" t="s">
        <v>300</v>
      </c>
      <c r="L27" s="5" t="s">
        <v>301</v>
      </c>
      <c r="M27" s="5" t="s">
        <v>302</v>
      </c>
    </row>
    <row r="28" spans="2:13" ht="45" x14ac:dyDescent="0.2">
      <c r="B28" s="18" t="s">
        <v>303</v>
      </c>
      <c r="C28" s="19" t="s">
        <v>273</v>
      </c>
      <c r="D28" s="4" t="s">
        <v>304</v>
      </c>
      <c r="E28" s="5" t="s">
        <v>305</v>
      </c>
      <c r="F28" s="5" t="s">
        <v>306</v>
      </c>
      <c r="G28" s="5" t="s">
        <v>307</v>
      </c>
      <c r="H28" s="5" t="s">
        <v>308</v>
      </c>
      <c r="I28" s="5" t="s">
        <v>309</v>
      </c>
      <c r="J28" s="5" t="s">
        <v>308</v>
      </c>
      <c r="K28" s="5" t="s">
        <v>309</v>
      </c>
      <c r="L28" s="5" t="s">
        <v>310</v>
      </c>
      <c r="M28" s="5" t="s">
        <v>311</v>
      </c>
    </row>
    <row r="29" spans="2:13" ht="30" x14ac:dyDescent="0.2">
      <c r="B29" s="18" t="s">
        <v>312</v>
      </c>
      <c r="C29" s="19" t="s">
        <v>313</v>
      </c>
      <c r="D29" s="4" t="s">
        <v>314</v>
      </c>
      <c r="E29" s="5" t="s">
        <v>315</v>
      </c>
      <c r="F29" s="5" t="s">
        <v>316</v>
      </c>
      <c r="G29" s="5" t="s">
        <v>317</v>
      </c>
      <c r="H29" s="5" t="s">
        <v>318</v>
      </c>
      <c r="I29" s="5" t="s">
        <v>317</v>
      </c>
      <c r="J29" s="5" t="s">
        <v>318</v>
      </c>
      <c r="K29" s="5" t="s">
        <v>317</v>
      </c>
      <c r="L29" s="5" t="s">
        <v>319</v>
      </c>
      <c r="M29" s="5" t="s">
        <v>320</v>
      </c>
    </row>
    <row r="30" spans="2:13" x14ac:dyDescent="0.2">
      <c r="B30" s="18" t="s">
        <v>321</v>
      </c>
      <c r="C30" s="19" t="s">
        <v>313</v>
      </c>
      <c r="D30" s="4" t="s">
        <v>322</v>
      </c>
      <c r="E30" s="5" t="s">
        <v>323</v>
      </c>
      <c r="F30" s="5" t="s">
        <v>324</v>
      </c>
      <c r="G30" s="5" t="s">
        <v>324</v>
      </c>
      <c r="H30" s="5" t="s">
        <v>325</v>
      </c>
      <c r="I30" s="5" t="s">
        <v>325</v>
      </c>
      <c r="J30" s="5" t="s">
        <v>326</v>
      </c>
      <c r="K30" s="5" t="s">
        <v>326</v>
      </c>
      <c r="L30" s="5" t="s">
        <v>327</v>
      </c>
      <c r="M30" s="5" t="s">
        <v>328</v>
      </c>
    </row>
    <row r="31" spans="2:13" x14ac:dyDescent="0.2">
      <c r="B31" s="18" t="s">
        <v>329</v>
      </c>
      <c r="C31" s="19" t="s">
        <v>313</v>
      </c>
      <c r="D31" s="4" t="s">
        <v>330</v>
      </c>
      <c r="E31" s="5" t="s">
        <v>331</v>
      </c>
      <c r="F31" s="5" t="s">
        <v>332</v>
      </c>
      <c r="G31" s="5" t="s">
        <v>332</v>
      </c>
      <c r="H31" s="5" t="s">
        <v>333</v>
      </c>
      <c r="I31" s="5" t="s">
        <v>333</v>
      </c>
      <c r="J31" s="5" t="s">
        <v>334</v>
      </c>
      <c r="K31" s="5" t="s">
        <v>334</v>
      </c>
      <c r="L31" s="5" t="s">
        <v>335</v>
      </c>
      <c r="M31" s="5" t="s">
        <v>336</v>
      </c>
    </row>
    <row r="32" spans="2:13" ht="30" x14ac:dyDescent="0.2">
      <c r="B32" s="18" t="s">
        <v>337</v>
      </c>
      <c r="C32" s="19" t="s">
        <v>313</v>
      </c>
      <c r="D32" s="4" t="s">
        <v>338</v>
      </c>
      <c r="E32" s="5" t="s">
        <v>339</v>
      </c>
      <c r="F32" s="5" t="s">
        <v>340</v>
      </c>
      <c r="G32" s="5" t="s">
        <v>341</v>
      </c>
      <c r="H32" s="5" t="s">
        <v>342</v>
      </c>
      <c r="I32" s="5" t="s">
        <v>342</v>
      </c>
      <c r="J32" s="5" t="s">
        <v>343</v>
      </c>
      <c r="K32" s="5" t="s">
        <v>343</v>
      </c>
      <c r="L32" s="5" t="s">
        <v>344</v>
      </c>
      <c r="M32" s="5" t="s">
        <v>345</v>
      </c>
    </row>
    <row r="33" spans="2:13" ht="30" x14ac:dyDescent="0.2">
      <c r="B33" s="18" t="s">
        <v>346</v>
      </c>
      <c r="C33" s="19" t="s">
        <v>347</v>
      </c>
      <c r="D33" s="4" t="s">
        <v>348</v>
      </c>
      <c r="E33" s="5" t="s">
        <v>349</v>
      </c>
      <c r="F33" s="5" t="s">
        <v>350</v>
      </c>
      <c r="G33" s="5" t="s">
        <v>351</v>
      </c>
      <c r="H33" s="5" t="s">
        <v>352</v>
      </c>
      <c r="I33" s="5" t="s">
        <v>353</v>
      </c>
      <c r="J33" s="5" t="s">
        <v>354</v>
      </c>
      <c r="K33" s="5" t="s">
        <v>355</v>
      </c>
      <c r="L33" s="5" t="s">
        <v>356</v>
      </c>
      <c r="M33" s="5" t="s">
        <v>357</v>
      </c>
    </row>
    <row r="34" spans="2:13" ht="30" x14ac:dyDescent="0.2">
      <c r="B34" s="18" t="s">
        <v>358</v>
      </c>
      <c r="C34" s="19" t="s">
        <v>347</v>
      </c>
      <c r="D34" s="4" t="s">
        <v>359</v>
      </c>
      <c r="E34" s="5" t="s">
        <v>360</v>
      </c>
      <c r="F34" s="5" t="s">
        <v>361</v>
      </c>
      <c r="G34" s="5" t="s">
        <v>189</v>
      </c>
      <c r="H34" s="5" t="s">
        <v>362</v>
      </c>
      <c r="I34" s="5" t="s">
        <v>190</v>
      </c>
      <c r="J34" s="5" t="s">
        <v>191</v>
      </c>
      <c r="K34" s="5" t="s">
        <v>191</v>
      </c>
      <c r="L34" s="5" t="s">
        <v>363</v>
      </c>
      <c r="M34" s="5" t="s">
        <v>364</v>
      </c>
    </row>
    <row r="35" spans="2:13" ht="30" x14ac:dyDescent="0.2">
      <c r="B35" s="18" t="s">
        <v>365</v>
      </c>
      <c r="C35" s="19" t="s">
        <v>366</v>
      </c>
      <c r="D35" s="4" t="s">
        <v>367</v>
      </c>
      <c r="E35" s="5" t="s">
        <v>368</v>
      </c>
      <c r="F35" s="5" t="s">
        <v>369</v>
      </c>
      <c r="G35" s="5" t="s">
        <v>370</v>
      </c>
      <c r="H35" s="5" t="s">
        <v>371</v>
      </c>
      <c r="I35" s="5" t="s">
        <v>371</v>
      </c>
      <c r="J35" s="5" t="s">
        <v>372</v>
      </c>
      <c r="K35" s="5" t="s">
        <v>372</v>
      </c>
      <c r="L35" s="5" t="s">
        <v>373</v>
      </c>
      <c r="M35" s="5" t="s">
        <v>374</v>
      </c>
    </row>
    <row r="36" spans="2:13" ht="30" x14ac:dyDescent="0.2">
      <c r="B36" s="18" t="s">
        <v>375</v>
      </c>
      <c r="C36" s="19" t="s">
        <v>366</v>
      </c>
      <c r="D36" s="4" t="s">
        <v>376</v>
      </c>
      <c r="E36" s="5" t="s">
        <v>377</v>
      </c>
      <c r="F36" s="5" t="s">
        <v>378</v>
      </c>
      <c r="G36" s="5" t="s">
        <v>379</v>
      </c>
      <c r="H36" s="5" t="s">
        <v>380</v>
      </c>
      <c r="I36" s="5" t="s">
        <v>380</v>
      </c>
      <c r="J36" s="5" t="s">
        <v>381</v>
      </c>
      <c r="K36" s="5" t="s">
        <v>381</v>
      </c>
      <c r="L36" s="5" t="s">
        <v>382</v>
      </c>
      <c r="M36" s="5" t="s">
        <v>383</v>
      </c>
    </row>
  </sheetData>
  <autoFilter ref="B5:M36" xr:uid="{00000000-0009-0000-0000-000002000000}"/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F18"/>
  <sheetViews>
    <sheetView showGridLines="0" zoomScale="172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4" width="44" customWidth="1"/>
    <col min="5" max="5" width="36" customWidth="1"/>
    <col min="6" max="6" width="16" customWidth="1"/>
  </cols>
  <sheetData>
    <row r="2" spans="2:6" ht="21" x14ac:dyDescent="0.25">
      <c r="B2" s="1" t="s">
        <v>384</v>
      </c>
    </row>
    <row r="5" spans="2:6" ht="16" x14ac:dyDescent="0.2">
      <c r="B5" s="3" t="s">
        <v>385</v>
      </c>
      <c r="C5" s="3" t="s">
        <v>386</v>
      </c>
      <c r="D5" s="3" t="s">
        <v>387</v>
      </c>
      <c r="E5" s="3" t="s">
        <v>388</v>
      </c>
      <c r="F5" s="3" t="s">
        <v>389</v>
      </c>
    </row>
    <row r="6" spans="2:6" x14ac:dyDescent="0.2">
      <c r="B6" s="4" t="s">
        <v>390</v>
      </c>
      <c r="C6" s="5" t="s">
        <v>391</v>
      </c>
      <c r="D6" s="5" t="s">
        <v>392</v>
      </c>
      <c r="E6" s="5" t="s">
        <v>393</v>
      </c>
      <c r="F6" s="5" t="s">
        <v>394</v>
      </c>
    </row>
    <row r="7" spans="2:6" x14ac:dyDescent="0.2">
      <c r="B7" s="4" t="s">
        <v>395</v>
      </c>
      <c r="C7" s="5" t="s">
        <v>396</v>
      </c>
      <c r="D7" s="5" t="s">
        <v>397</v>
      </c>
      <c r="E7" s="5" t="s">
        <v>398</v>
      </c>
      <c r="F7" s="5" t="s">
        <v>399</v>
      </c>
    </row>
    <row r="8" spans="2:6" x14ac:dyDescent="0.2">
      <c r="B8" s="4" t="s">
        <v>400</v>
      </c>
      <c r="C8" s="5" t="s">
        <v>401</v>
      </c>
      <c r="D8" s="5" t="s">
        <v>402</v>
      </c>
      <c r="E8" s="5" t="s">
        <v>403</v>
      </c>
      <c r="F8" s="5" t="s">
        <v>404</v>
      </c>
    </row>
    <row r="9" spans="2:6" x14ac:dyDescent="0.2">
      <c r="B9" s="4" t="s">
        <v>405</v>
      </c>
      <c r="C9" s="5" t="s">
        <v>406</v>
      </c>
      <c r="D9" s="5" t="s">
        <v>407</v>
      </c>
      <c r="E9" s="5" t="s">
        <v>408</v>
      </c>
      <c r="F9" s="5" t="s">
        <v>220</v>
      </c>
    </row>
    <row r="10" spans="2:6" x14ac:dyDescent="0.2">
      <c r="B10" s="4" t="s">
        <v>50</v>
      </c>
      <c r="C10" s="5" t="s">
        <v>409</v>
      </c>
      <c r="D10" s="5" t="s">
        <v>410</v>
      </c>
      <c r="E10" s="5" t="s">
        <v>411</v>
      </c>
      <c r="F10" s="5" t="s">
        <v>237</v>
      </c>
    </row>
    <row r="11" spans="2:6" x14ac:dyDescent="0.2">
      <c r="B11" s="4" t="s">
        <v>412</v>
      </c>
      <c r="C11" s="5" t="s">
        <v>413</v>
      </c>
      <c r="D11" s="5" t="s">
        <v>414</v>
      </c>
      <c r="E11" s="5" t="s">
        <v>415</v>
      </c>
      <c r="F11" s="5" t="s">
        <v>246</v>
      </c>
    </row>
    <row r="12" spans="2:6" x14ac:dyDescent="0.2">
      <c r="B12" s="4" t="s">
        <v>416</v>
      </c>
      <c r="C12" s="5" t="s">
        <v>417</v>
      </c>
      <c r="D12" s="5" t="s">
        <v>418</v>
      </c>
      <c r="E12" s="5" t="s">
        <v>419</v>
      </c>
      <c r="F12" s="5" t="s">
        <v>292</v>
      </c>
    </row>
    <row r="13" spans="2:6" x14ac:dyDescent="0.2">
      <c r="B13" s="4" t="s">
        <v>420</v>
      </c>
      <c r="C13" s="5" t="s">
        <v>421</v>
      </c>
      <c r="D13" s="5" t="s">
        <v>422</v>
      </c>
      <c r="E13" s="5" t="s">
        <v>423</v>
      </c>
      <c r="F13" s="5" t="s">
        <v>424</v>
      </c>
    </row>
    <row r="14" spans="2:6" x14ac:dyDescent="0.2">
      <c r="B14" s="4" t="s">
        <v>425</v>
      </c>
      <c r="C14" s="5" t="s">
        <v>426</v>
      </c>
      <c r="D14" s="5" t="s">
        <v>427</v>
      </c>
      <c r="E14" s="5" t="s">
        <v>428</v>
      </c>
      <c r="F14" s="5" t="s">
        <v>303</v>
      </c>
    </row>
    <row r="15" spans="2:6" x14ac:dyDescent="0.2">
      <c r="B15" s="4" t="s">
        <v>429</v>
      </c>
      <c r="C15" s="5" t="s">
        <v>430</v>
      </c>
      <c r="D15" s="5" t="s">
        <v>431</v>
      </c>
      <c r="E15" s="5" t="s">
        <v>432</v>
      </c>
      <c r="F15" s="5" t="s">
        <v>312</v>
      </c>
    </row>
    <row r="16" spans="2:6" ht="30" x14ac:dyDescent="0.2">
      <c r="B16" s="4" t="s">
        <v>433</v>
      </c>
      <c r="C16" s="5" t="s">
        <v>434</v>
      </c>
      <c r="D16" s="5" t="s">
        <v>435</v>
      </c>
      <c r="E16" s="5" t="s">
        <v>436</v>
      </c>
      <c r="F16" s="5" t="s">
        <v>437</v>
      </c>
    </row>
    <row r="17" spans="2:6" x14ac:dyDescent="0.2">
      <c r="B17" s="4" t="s">
        <v>438</v>
      </c>
      <c r="C17" s="5" t="s">
        <v>439</v>
      </c>
      <c r="D17" s="5" t="s">
        <v>440</v>
      </c>
      <c r="E17" s="5" t="s">
        <v>441</v>
      </c>
      <c r="F17" s="5" t="s">
        <v>442</v>
      </c>
    </row>
    <row r="18" spans="2:6" x14ac:dyDescent="0.2">
      <c r="B18" s="4" t="s">
        <v>136</v>
      </c>
      <c r="C18" s="5" t="s">
        <v>443</v>
      </c>
      <c r="D18" s="5" t="s">
        <v>444</v>
      </c>
      <c r="E18" s="5" t="s">
        <v>445</v>
      </c>
      <c r="F18" s="5" t="s">
        <v>135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17"/>
  <sheetViews>
    <sheetView showGridLines="0" topLeftCell="B1" zoomScale="172" zoomScaleNormal="100" workbookViewId="0"/>
  </sheetViews>
  <sheetFormatPr baseColWidth="10" defaultColWidth="8.6640625" defaultRowHeight="15" x14ac:dyDescent="0.2"/>
  <cols>
    <col min="1" max="1" width="3" customWidth="1"/>
    <col min="2" max="2" width="5" customWidth="1"/>
    <col min="3" max="3" width="28" customWidth="1"/>
    <col min="4" max="4" width="46" customWidth="1"/>
    <col min="5" max="5" width="20" customWidth="1"/>
    <col min="6" max="6" width="16" customWidth="1"/>
    <col min="7" max="7" width="28" customWidth="1"/>
    <col min="8" max="8" width="26" customWidth="1"/>
    <col min="9" max="9" width="22" customWidth="1"/>
  </cols>
  <sheetData>
    <row r="2" spans="2:9" ht="21" x14ac:dyDescent="0.25">
      <c r="B2" s="1" t="s">
        <v>446</v>
      </c>
    </row>
    <row r="3" spans="2:9" x14ac:dyDescent="0.2">
      <c r="B3" s="2" t="s">
        <v>447</v>
      </c>
    </row>
    <row r="5" spans="2:9" ht="16" x14ac:dyDescent="0.2">
      <c r="B5" s="3" t="s">
        <v>39</v>
      </c>
      <c r="C5" s="3" t="s">
        <v>448</v>
      </c>
      <c r="D5" s="3" t="s">
        <v>449</v>
      </c>
      <c r="E5" s="3" t="s">
        <v>450</v>
      </c>
      <c r="F5" s="3" t="s">
        <v>451</v>
      </c>
      <c r="G5" s="3" t="s">
        <v>452</v>
      </c>
      <c r="H5" s="3" t="s">
        <v>453</v>
      </c>
      <c r="I5" s="3" t="s">
        <v>454</v>
      </c>
    </row>
    <row r="6" spans="2:9" x14ac:dyDescent="0.2">
      <c r="B6" s="5">
        <v>1</v>
      </c>
      <c r="C6" s="5" t="s">
        <v>455</v>
      </c>
      <c r="D6" s="5" t="s">
        <v>456</v>
      </c>
      <c r="E6" s="5" t="s">
        <v>457</v>
      </c>
      <c r="F6" s="5" t="s">
        <v>458</v>
      </c>
      <c r="G6" s="5" t="s">
        <v>459</v>
      </c>
      <c r="H6" s="5" t="s">
        <v>460</v>
      </c>
      <c r="I6" s="5" t="s">
        <v>461</v>
      </c>
    </row>
    <row r="7" spans="2:9" ht="30" x14ac:dyDescent="0.2">
      <c r="B7" s="5">
        <v>2</v>
      </c>
      <c r="C7" s="5" t="s">
        <v>462</v>
      </c>
      <c r="D7" s="5" t="s">
        <v>463</v>
      </c>
      <c r="E7" s="5" t="s">
        <v>464</v>
      </c>
      <c r="F7" s="5" t="s">
        <v>465</v>
      </c>
      <c r="G7" s="5" t="s">
        <v>466</v>
      </c>
      <c r="H7" s="5" t="s">
        <v>467</v>
      </c>
      <c r="I7" s="5" t="s">
        <v>468</v>
      </c>
    </row>
    <row r="8" spans="2:9" ht="30" x14ac:dyDescent="0.2">
      <c r="B8" s="5">
        <v>3</v>
      </c>
      <c r="C8" s="5" t="s">
        <v>469</v>
      </c>
      <c r="D8" s="5" t="s">
        <v>470</v>
      </c>
      <c r="E8" s="5" t="s">
        <v>471</v>
      </c>
      <c r="F8" s="5" t="s">
        <v>472</v>
      </c>
      <c r="G8" s="5" t="s">
        <v>466</v>
      </c>
      <c r="H8" s="5" t="s">
        <v>473</v>
      </c>
      <c r="I8" s="5" t="s">
        <v>474</v>
      </c>
    </row>
    <row r="9" spans="2:9" x14ac:dyDescent="0.2">
      <c r="B9" s="5">
        <v>4</v>
      </c>
      <c r="C9" s="5" t="s">
        <v>475</v>
      </c>
      <c r="D9" s="5" t="s">
        <v>476</v>
      </c>
      <c r="E9" s="5" t="s">
        <v>477</v>
      </c>
      <c r="F9" s="5" t="s">
        <v>50</v>
      </c>
      <c r="G9" s="5" t="s">
        <v>478</v>
      </c>
      <c r="H9" s="5" t="s">
        <v>479</v>
      </c>
      <c r="I9" s="5" t="s">
        <v>480</v>
      </c>
    </row>
    <row r="10" spans="2:9" x14ac:dyDescent="0.2">
      <c r="B10" s="5">
        <v>5</v>
      </c>
      <c r="C10" s="5" t="s">
        <v>481</v>
      </c>
      <c r="D10" s="5" t="s">
        <v>482</v>
      </c>
      <c r="E10" s="5" t="s">
        <v>483</v>
      </c>
      <c r="F10" s="5" t="s">
        <v>484</v>
      </c>
      <c r="G10" s="5" t="s">
        <v>485</v>
      </c>
      <c r="H10" s="5" t="s">
        <v>486</v>
      </c>
      <c r="I10" s="5" t="s">
        <v>487</v>
      </c>
    </row>
    <row r="11" spans="2:9" ht="30" x14ac:dyDescent="0.2">
      <c r="B11" s="5">
        <v>6</v>
      </c>
      <c r="C11" s="5" t="s">
        <v>488</v>
      </c>
      <c r="D11" s="5" t="s">
        <v>489</v>
      </c>
      <c r="E11" s="5" t="s">
        <v>490</v>
      </c>
      <c r="F11" s="5" t="s">
        <v>491</v>
      </c>
      <c r="G11" s="5" t="s">
        <v>492</v>
      </c>
      <c r="H11" s="5" t="s">
        <v>493</v>
      </c>
      <c r="I11" s="5" t="s">
        <v>494</v>
      </c>
    </row>
    <row r="12" spans="2:9" x14ac:dyDescent="0.2">
      <c r="B12" s="5">
        <v>7</v>
      </c>
      <c r="C12" s="5" t="s">
        <v>495</v>
      </c>
      <c r="D12" s="5" t="s">
        <v>496</v>
      </c>
      <c r="E12" s="5" t="s">
        <v>477</v>
      </c>
      <c r="F12" s="5" t="s">
        <v>50</v>
      </c>
      <c r="G12" s="5" t="s">
        <v>497</v>
      </c>
      <c r="H12" s="5" t="s">
        <v>498</v>
      </c>
      <c r="I12" s="5" t="s">
        <v>499</v>
      </c>
    </row>
    <row r="13" spans="2:9" x14ac:dyDescent="0.2">
      <c r="B13" s="5">
        <v>8</v>
      </c>
      <c r="C13" s="5" t="s">
        <v>500</v>
      </c>
      <c r="D13" s="5" t="s">
        <v>501</v>
      </c>
      <c r="E13" s="5" t="s">
        <v>483</v>
      </c>
      <c r="F13" s="5" t="s">
        <v>472</v>
      </c>
      <c r="G13" s="5" t="s">
        <v>502</v>
      </c>
      <c r="H13" s="5" t="s">
        <v>486</v>
      </c>
      <c r="I13" s="5" t="s">
        <v>503</v>
      </c>
    </row>
    <row r="14" spans="2:9" x14ac:dyDescent="0.2">
      <c r="B14" s="5">
        <v>9</v>
      </c>
      <c r="C14" s="5" t="s">
        <v>504</v>
      </c>
      <c r="D14" s="5" t="s">
        <v>505</v>
      </c>
      <c r="E14" s="5" t="s">
        <v>483</v>
      </c>
      <c r="F14" s="5" t="s">
        <v>484</v>
      </c>
      <c r="G14" s="5" t="s">
        <v>506</v>
      </c>
      <c r="H14" s="5" t="s">
        <v>486</v>
      </c>
      <c r="I14" s="5" t="s">
        <v>507</v>
      </c>
    </row>
    <row r="15" spans="2:9" x14ac:dyDescent="0.2">
      <c r="B15" s="5">
        <v>10</v>
      </c>
      <c r="C15" s="5" t="s">
        <v>508</v>
      </c>
      <c r="D15" s="5" t="s">
        <v>509</v>
      </c>
      <c r="E15" s="5" t="s">
        <v>510</v>
      </c>
      <c r="F15" s="5" t="s">
        <v>511</v>
      </c>
      <c r="G15" s="5" t="s">
        <v>512</v>
      </c>
      <c r="H15" s="5" t="s">
        <v>513</v>
      </c>
      <c r="I15" s="5" t="s">
        <v>514</v>
      </c>
    </row>
    <row r="16" spans="2:9" x14ac:dyDescent="0.2">
      <c r="B16" s="5">
        <v>11</v>
      </c>
      <c r="C16" s="5" t="s">
        <v>515</v>
      </c>
      <c r="D16" s="5" t="s">
        <v>516</v>
      </c>
      <c r="E16" s="5" t="s">
        <v>517</v>
      </c>
      <c r="F16" s="5" t="s">
        <v>518</v>
      </c>
      <c r="G16" s="5" t="s">
        <v>519</v>
      </c>
      <c r="H16" s="5" t="s">
        <v>486</v>
      </c>
      <c r="I16" s="5" t="s">
        <v>520</v>
      </c>
    </row>
    <row r="17" spans="2:9" x14ac:dyDescent="0.2">
      <c r="B17" s="5">
        <v>12</v>
      </c>
      <c r="C17" s="5" t="s">
        <v>521</v>
      </c>
      <c r="D17" s="5" t="s">
        <v>522</v>
      </c>
      <c r="E17" s="5" t="s">
        <v>523</v>
      </c>
      <c r="F17" s="5" t="s">
        <v>524</v>
      </c>
      <c r="G17" s="5" t="s">
        <v>525</v>
      </c>
      <c r="H17" s="5" t="s">
        <v>526</v>
      </c>
      <c r="I17" s="5" t="s">
        <v>527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S25"/>
  <sheetViews>
    <sheetView showGridLines="0" tabSelected="1" zoomScale="179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1" sqref="B11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3" width="18" customWidth="1"/>
    <col min="4" max="4" width="22" customWidth="1"/>
    <col min="5" max="5" width="16" customWidth="1"/>
    <col min="6" max="6" width="20" customWidth="1"/>
    <col min="7" max="7" width="14" customWidth="1"/>
    <col min="8" max="8" width="20" customWidth="1"/>
    <col min="9" max="9" width="18" customWidth="1"/>
    <col min="10" max="10" width="8" customWidth="1"/>
    <col min="11" max="11" width="10" customWidth="1"/>
    <col min="12" max="18" width="12" customWidth="1"/>
    <col min="19" max="19" width="11" customWidth="1"/>
  </cols>
  <sheetData>
    <row r="2" spans="2:19" ht="21" x14ac:dyDescent="0.25">
      <c r="B2" s="1" t="s">
        <v>528</v>
      </c>
    </row>
    <row r="3" spans="2:19" x14ac:dyDescent="0.2">
      <c r="B3" s="2" t="s">
        <v>529</v>
      </c>
    </row>
    <row r="5" spans="2:19" ht="32" x14ac:dyDescent="0.2">
      <c r="B5" s="3" t="s">
        <v>530</v>
      </c>
      <c r="C5" s="3" t="s">
        <v>531</v>
      </c>
      <c r="D5" s="3" t="s">
        <v>65</v>
      </c>
      <c r="E5" s="3" t="s">
        <v>78</v>
      </c>
      <c r="F5" s="3" t="s">
        <v>79</v>
      </c>
      <c r="G5" s="3" t="s">
        <v>532</v>
      </c>
      <c r="H5" s="3" t="s">
        <v>64</v>
      </c>
      <c r="I5" s="3" t="s">
        <v>533</v>
      </c>
      <c r="J5" s="3" t="s">
        <v>534</v>
      </c>
      <c r="K5" s="3" t="s">
        <v>535</v>
      </c>
      <c r="L5" s="3" t="s">
        <v>89</v>
      </c>
      <c r="M5" s="3" t="s">
        <v>107</v>
      </c>
      <c r="N5" s="3" t="s">
        <v>171</v>
      </c>
      <c r="O5" s="3" t="s">
        <v>536</v>
      </c>
      <c r="P5" s="3" t="s">
        <v>293</v>
      </c>
      <c r="Q5" s="3" t="s">
        <v>537</v>
      </c>
      <c r="R5" s="3" t="s">
        <v>538</v>
      </c>
      <c r="S5" s="3" t="s">
        <v>539</v>
      </c>
    </row>
    <row r="6" spans="2:19" x14ac:dyDescent="0.2">
      <c r="B6" s="5" t="s">
        <v>540</v>
      </c>
      <c r="C6" s="13" t="s">
        <v>541</v>
      </c>
      <c r="D6" s="13" t="s">
        <v>68</v>
      </c>
      <c r="E6" s="13" t="s">
        <v>30</v>
      </c>
      <c r="F6" s="13" t="s">
        <v>30</v>
      </c>
      <c r="G6" s="13" t="s">
        <v>72</v>
      </c>
      <c r="H6" s="13" t="s">
        <v>70</v>
      </c>
      <c r="I6" s="13" t="s">
        <v>61</v>
      </c>
      <c r="J6" s="13">
        <f>IF(INDEX(Classification!$C$6:$C$8,MATCH(E6,Classification!$B$6:$B$8,0))+INDEX(Classification!$C$11:$C$13,MATCH(F6,Classification!$B$11:$B$13,0))&gt;=5,3,IF(INDEX(Classification!$C$6:$C$8,MATCH(E6,Classification!$B$6:$B$8,0))+INDEX(Classification!$C$11:$C$13,MATCH(F6,Classification!$B$11:$B$13,0))=4,2,1))</f>
        <v>3</v>
      </c>
      <c r="K6" s="13">
        <f>IF(D6="Supervisor",MAX(IF(H6="Autonomous write",MIN(3,IF(G6="Restricted",3,J6)+1),IF(G6="Restricted",3,J6)),IFERROR(INDEX(Classification!$C$16:$C$18,MATCH(I6,Classification!$B$16:$B$18,0)),1)),IF(H6="Autonomous write",MIN(3,IF(G6="Restricted",3,J6)+1),IF(G6="Restricted",3,J6)))</f>
        <v>3</v>
      </c>
      <c r="L6" s="13" t="str">
        <f>INDEX(Classification!$B$16:$B$18,K6)</f>
        <v>Critical</v>
      </c>
      <c r="M6" s="13" t="s">
        <v>542</v>
      </c>
      <c r="N6" s="13" t="s">
        <v>542</v>
      </c>
      <c r="O6" s="13" t="s">
        <v>542</v>
      </c>
      <c r="P6" s="13" t="s">
        <v>542</v>
      </c>
      <c r="Q6" s="13" t="s">
        <v>542</v>
      </c>
      <c r="R6" s="13" t="s">
        <v>542</v>
      </c>
      <c r="S6" s="20">
        <f t="shared" ref="S6:S13" si="0">COUNTIF(M6:R6,"Yes")/COLUMNS(M6:R6)</f>
        <v>1</v>
      </c>
    </row>
    <row r="7" spans="2:19" x14ac:dyDescent="0.2">
      <c r="B7" s="5" t="s">
        <v>543</v>
      </c>
      <c r="C7" s="13" t="s">
        <v>544</v>
      </c>
      <c r="D7" s="13" t="s">
        <v>71</v>
      </c>
      <c r="E7" s="13" t="s">
        <v>29</v>
      </c>
      <c r="F7" s="13" t="s">
        <v>30</v>
      </c>
      <c r="G7" s="13" t="s">
        <v>72</v>
      </c>
      <c r="H7" s="13" t="s">
        <v>67</v>
      </c>
      <c r="I7" s="13"/>
      <c r="J7" s="13">
        <f>IF(INDEX(Classification!$C$6:$C$8,MATCH(E7,Classification!$B$6:$B$8,0))+INDEX(Classification!$C$11:$C$13,MATCH(F7,Classification!$B$11:$B$13,0))&gt;=5,3,IF(INDEX(Classification!$C$6:$C$8,MATCH(E7,Classification!$B$6:$B$8,0))+INDEX(Classification!$C$11:$C$13,MATCH(F7,Classification!$B$11:$B$13,0))=4,2,1))</f>
        <v>2</v>
      </c>
      <c r="K7" s="13">
        <f>IF(D7="Supervisor",MAX(IF(H7="Autonomous write",MIN(3,IF(G7="Restricted",3,J7)+1),IF(G7="Restricted",3,J7)),IFERROR(INDEX(Classification!$C$16:$C$18,MATCH(I7,Classification!$B$16:$B$18,0)),1)),IF(H7="Autonomous write",MIN(3,IF(G7="Restricted",3,J7)+1),IF(G7="Restricted",3,J7)))</f>
        <v>2</v>
      </c>
      <c r="L7" s="13" t="str">
        <f>INDEX(Classification!$B$16:$B$18,K7)</f>
        <v>Standard</v>
      </c>
      <c r="M7" s="13" t="s">
        <v>542</v>
      </c>
      <c r="N7" s="13" t="s">
        <v>542</v>
      </c>
      <c r="O7" s="13" t="s">
        <v>542</v>
      </c>
      <c r="P7" s="13" t="s">
        <v>542</v>
      </c>
      <c r="Q7" s="13" t="s">
        <v>542</v>
      </c>
      <c r="R7" s="13" t="s">
        <v>542</v>
      </c>
      <c r="S7" s="20">
        <f t="shared" si="0"/>
        <v>1</v>
      </c>
    </row>
    <row r="8" spans="2:19" x14ac:dyDescent="0.2">
      <c r="B8" s="5" t="s">
        <v>545</v>
      </c>
      <c r="C8" s="13" t="s">
        <v>544</v>
      </c>
      <c r="D8" s="13" t="s">
        <v>71</v>
      </c>
      <c r="E8" s="13" t="s">
        <v>30</v>
      </c>
      <c r="F8" s="13" t="s">
        <v>34</v>
      </c>
      <c r="G8" s="13" t="s">
        <v>74</v>
      </c>
      <c r="H8" s="13" t="s">
        <v>70</v>
      </c>
      <c r="I8" s="13"/>
      <c r="J8" s="13">
        <f>IF(INDEX(Classification!$C$6:$C$8,MATCH(E8,Classification!$B$6:$B$8,0))+INDEX(Classification!$C$11:$C$13,MATCH(F8,Classification!$B$11:$B$13,0))&gt;=5,3,IF(INDEX(Classification!$C$6:$C$8,MATCH(E8,Classification!$B$6:$B$8,0))+INDEX(Classification!$C$11:$C$13,MATCH(F8,Classification!$B$11:$B$13,0))=4,2,1))</f>
        <v>3</v>
      </c>
      <c r="K8" s="13">
        <f>IF(D8="Supervisor",MAX(IF(H8="Autonomous write",MIN(3,IF(G8="Restricted",3,J8)+1),IF(G8="Restricted",3,J8)),IFERROR(INDEX(Classification!$C$16:$C$18,MATCH(I8,Classification!$B$16:$B$18,0)),1)),IF(H8="Autonomous write",MIN(3,IF(G8="Restricted",3,J8)+1),IF(G8="Restricted",3,J8)))</f>
        <v>3</v>
      </c>
      <c r="L8" s="13" t="str">
        <f>INDEX(Classification!$B$16:$B$18,K8)</f>
        <v>Critical</v>
      </c>
      <c r="M8" s="13" t="s">
        <v>542</v>
      </c>
      <c r="N8" s="13" t="s">
        <v>546</v>
      </c>
      <c r="O8" s="13" t="s">
        <v>542</v>
      </c>
      <c r="P8" s="13" t="s">
        <v>542</v>
      </c>
      <c r="Q8" s="13" t="s">
        <v>542</v>
      </c>
      <c r="R8" s="13" t="s">
        <v>542</v>
      </c>
      <c r="S8" s="20">
        <f t="shared" si="0"/>
        <v>0.83333333333333337</v>
      </c>
    </row>
    <row r="9" spans="2:19" x14ac:dyDescent="0.2">
      <c r="B9" s="5" t="s">
        <v>547</v>
      </c>
      <c r="C9" s="13" t="s">
        <v>541</v>
      </c>
      <c r="D9" s="13" t="s">
        <v>68</v>
      </c>
      <c r="E9" s="13" t="s">
        <v>29</v>
      </c>
      <c r="F9" s="13" t="s">
        <v>34</v>
      </c>
      <c r="G9" s="13" t="s">
        <v>69</v>
      </c>
      <c r="H9" s="13" t="s">
        <v>67</v>
      </c>
      <c r="I9" s="13" t="s">
        <v>32</v>
      </c>
      <c r="J9" s="13">
        <f>IF(INDEX(Classification!$C$6:$C$8,MATCH(E9,Classification!$B$6:$B$8,0))+INDEX(Classification!$C$11:$C$13,MATCH(F9,Classification!$B$11:$B$13,0))&gt;=5,3,IF(INDEX(Classification!$C$6:$C$8,MATCH(E9,Classification!$B$6:$B$8,0))+INDEX(Classification!$C$11:$C$13,MATCH(F9,Classification!$B$11:$B$13,0))=4,2,1))</f>
        <v>3</v>
      </c>
      <c r="K9" s="13">
        <f>IF(D9="Supervisor",MAX(IF(H9="Autonomous write",MIN(3,IF(G9="Restricted",3,J9)+1),IF(G9="Restricted",3,J9)),IFERROR(INDEX(Classification!$C$16:$C$18,MATCH(I9,Classification!$B$16:$B$18,0)),1)),IF(H9="Autonomous write",MIN(3,IF(G9="Restricted",3,J9)+1),IF(G9="Restricted",3,J9)))</f>
        <v>3</v>
      </c>
      <c r="L9" s="13" t="str">
        <f>INDEX(Classification!$B$16:$B$18,K9)</f>
        <v>Critical</v>
      </c>
      <c r="M9" s="13" t="s">
        <v>542</v>
      </c>
      <c r="N9" s="13" t="s">
        <v>542</v>
      </c>
      <c r="O9" s="13" t="s">
        <v>542</v>
      </c>
      <c r="P9" s="13" t="s">
        <v>542</v>
      </c>
      <c r="Q9" s="13" t="s">
        <v>546</v>
      </c>
      <c r="R9" s="13" t="s">
        <v>542</v>
      </c>
      <c r="S9" s="20">
        <f t="shared" si="0"/>
        <v>0.83333333333333337</v>
      </c>
    </row>
    <row r="10" spans="2:19" x14ac:dyDescent="0.2">
      <c r="B10" s="5" t="s">
        <v>548</v>
      </c>
      <c r="C10" s="13" t="s">
        <v>541</v>
      </c>
      <c r="D10" s="13" t="s">
        <v>71</v>
      </c>
      <c r="E10" s="13" t="s">
        <v>26</v>
      </c>
      <c r="F10" s="13" t="s">
        <v>30</v>
      </c>
      <c r="G10" s="13" t="s">
        <v>69</v>
      </c>
      <c r="H10" s="13" t="s">
        <v>67</v>
      </c>
      <c r="I10" s="13"/>
      <c r="J10" s="13">
        <f>IF(INDEX(Classification!$C$6:$C$8,MATCH(E10,Classification!$B$6:$B$8,0))+INDEX(Classification!$C$11:$C$13,MATCH(F10,Classification!$B$11:$B$13,0))&gt;=5,3,IF(INDEX(Classification!$C$6:$C$8,MATCH(E10,Classification!$B$6:$B$8,0))+INDEX(Classification!$C$11:$C$13,MATCH(F10,Classification!$B$11:$B$13,0))=4,2,1))</f>
        <v>1</v>
      </c>
      <c r="K10" s="13">
        <f>IF(D10="Supervisor",MAX(IF(H10="Autonomous write",MIN(3,IF(G10="Restricted",3,J10)+1),IF(G10="Restricted",3,J10)),IFERROR(INDEX(Classification!$C$16:$C$18,MATCH(I10,Classification!$B$16:$B$18,0)),1)),IF(H10="Autonomous write",MIN(3,IF(G10="Restricted",3,J10)+1),IF(G10="Restricted",3,J10)))</f>
        <v>1</v>
      </c>
      <c r="L10" s="13" t="str">
        <f>INDEX(Classification!$B$16:$B$18,K10)</f>
        <v>Low</v>
      </c>
      <c r="M10" s="13" t="s">
        <v>542</v>
      </c>
      <c r="N10" s="13" t="s">
        <v>542</v>
      </c>
      <c r="O10" s="13" t="s">
        <v>542</v>
      </c>
      <c r="P10" s="13" t="s">
        <v>542</v>
      </c>
      <c r="Q10" s="13" t="s">
        <v>542</v>
      </c>
      <c r="R10" s="13" t="s">
        <v>546</v>
      </c>
      <c r="S10" s="20">
        <f t="shared" si="0"/>
        <v>0.83333333333333337</v>
      </c>
    </row>
    <row r="11" spans="2:19" x14ac:dyDescent="0.2">
      <c r="B11" s="5" t="s">
        <v>549</v>
      </c>
      <c r="C11" s="13" t="s">
        <v>544</v>
      </c>
      <c r="D11" s="13" t="s">
        <v>71</v>
      </c>
      <c r="E11" s="13" t="s">
        <v>29</v>
      </c>
      <c r="F11" s="13" t="s">
        <v>30</v>
      </c>
      <c r="G11" s="13" t="s">
        <v>72</v>
      </c>
      <c r="H11" s="13" t="s">
        <v>73</v>
      </c>
      <c r="I11" s="13"/>
      <c r="J11" s="13">
        <f>IF(INDEX(Classification!$C$6:$C$8,MATCH(E11,Classification!$B$6:$B$8,0))+INDEX(Classification!$C$11:$C$13,MATCH(F11,Classification!$B$11:$B$13,0))&gt;=5,3,IF(INDEX(Classification!$C$6:$C$8,MATCH(E11,Classification!$B$6:$B$8,0))+INDEX(Classification!$C$11:$C$13,MATCH(F11,Classification!$B$11:$B$13,0))=4,2,1))</f>
        <v>2</v>
      </c>
      <c r="K11" s="13">
        <f>IF(D11="Supervisor",MAX(IF(H11="Autonomous write",MIN(3,IF(G11="Restricted",3,J11)+1),IF(G11="Restricted",3,J11)),IFERROR(INDEX(Classification!$C$16:$C$18,MATCH(I11,Classification!$B$16:$B$18,0)),1)),IF(H11="Autonomous write",MIN(3,IF(G11="Restricted",3,J11)+1),IF(G11="Restricted",3,J11)))</f>
        <v>3</v>
      </c>
      <c r="L11" s="13" t="str">
        <f>INDEX(Classification!$B$16:$B$18,K11)</f>
        <v>Critical</v>
      </c>
      <c r="M11" s="13" t="s">
        <v>542</v>
      </c>
      <c r="N11" s="13" t="s">
        <v>542</v>
      </c>
      <c r="O11" s="13" t="s">
        <v>542</v>
      </c>
      <c r="P11" s="13" t="s">
        <v>546</v>
      </c>
      <c r="Q11" s="13" t="s">
        <v>542</v>
      </c>
      <c r="R11" s="13" t="s">
        <v>542</v>
      </c>
      <c r="S11" s="20">
        <f t="shared" si="0"/>
        <v>0.83333333333333337</v>
      </c>
    </row>
    <row r="12" spans="2:19" x14ac:dyDescent="0.2">
      <c r="B12" s="5" t="s">
        <v>550</v>
      </c>
      <c r="C12" s="13" t="s">
        <v>544</v>
      </c>
      <c r="D12" s="13" t="s">
        <v>71</v>
      </c>
      <c r="E12" s="13" t="s">
        <v>26</v>
      </c>
      <c r="F12" s="13" t="s">
        <v>32</v>
      </c>
      <c r="G12" s="13" t="s">
        <v>69</v>
      </c>
      <c r="H12" s="13" t="s">
        <v>67</v>
      </c>
      <c r="I12" s="13"/>
      <c r="J12" s="13">
        <f>IF(INDEX(Classification!$C$6:$C$8,MATCH(E12,Classification!$B$6:$B$8,0))+INDEX(Classification!$C$11:$C$13,MATCH(F12,Classification!$B$11:$B$13,0))&gt;=5,3,IF(INDEX(Classification!$C$6:$C$8,MATCH(E12,Classification!$B$6:$B$8,0))+INDEX(Classification!$C$11:$C$13,MATCH(F12,Classification!$B$11:$B$13,0))=4,2,1))</f>
        <v>1</v>
      </c>
      <c r="K12" s="13">
        <f>IF(D12="Supervisor",MAX(IF(H12="Autonomous write",MIN(3,IF(G12="Restricted",3,J12)+1),IF(G12="Restricted",3,J12)),IFERROR(INDEX(Classification!$C$16:$C$18,MATCH(I12,Classification!$B$16:$B$18,0)),1)),IF(H12="Autonomous write",MIN(3,IF(G12="Restricted",3,J12)+1),IF(G12="Restricted",3,J12)))</f>
        <v>1</v>
      </c>
      <c r="L12" s="13" t="str">
        <f>INDEX(Classification!$B$16:$B$18,K12)</f>
        <v>Low</v>
      </c>
      <c r="M12" s="13" t="s">
        <v>542</v>
      </c>
      <c r="N12" s="13" t="s">
        <v>542</v>
      </c>
      <c r="O12" s="13" t="s">
        <v>542</v>
      </c>
      <c r="P12" s="13" t="s">
        <v>542</v>
      </c>
      <c r="Q12" s="13" t="s">
        <v>542</v>
      </c>
      <c r="R12" s="13" t="s">
        <v>542</v>
      </c>
      <c r="S12" s="20">
        <f t="shared" si="0"/>
        <v>1</v>
      </c>
    </row>
    <row r="13" spans="2:19" x14ac:dyDescent="0.2">
      <c r="B13" s="5" t="s">
        <v>551</v>
      </c>
      <c r="C13" s="13" t="s">
        <v>544</v>
      </c>
      <c r="D13" s="13" t="s">
        <v>68</v>
      </c>
      <c r="E13" s="13" t="s">
        <v>26</v>
      </c>
      <c r="F13" s="13" t="s">
        <v>32</v>
      </c>
      <c r="G13" s="13" t="s">
        <v>66</v>
      </c>
      <c r="H13" s="13" t="s">
        <v>67</v>
      </c>
      <c r="I13" s="13" t="s">
        <v>26</v>
      </c>
      <c r="J13" s="13">
        <f>IF(INDEX(Classification!$C$6:$C$8,MATCH(E13,Classification!$B$6:$B$8,0))+INDEX(Classification!$C$11:$C$13,MATCH(F13,Classification!$B$11:$B$13,0))&gt;=5,3,IF(INDEX(Classification!$C$6:$C$8,MATCH(E13,Classification!$B$6:$B$8,0))+INDEX(Classification!$C$11:$C$13,MATCH(F13,Classification!$B$11:$B$13,0))=4,2,1))</f>
        <v>1</v>
      </c>
      <c r="K13" s="13">
        <f>IF(D13="Supervisor",MAX(IF(H13="Autonomous write",MIN(3,IF(G13="Restricted",3,J13)+1),IF(G13="Restricted",3,J13)),IFERROR(INDEX(Classification!$C$16:$C$18,MATCH(I13,Classification!$B$16:$B$18,0)),1)),IF(H13="Autonomous write",MIN(3,IF(G13="Restricted",3,J13)+1),IF(G13="Restricted",3,J13)))</f>
        <v>1</v>
      </c>
      <c r="L13" s="13" t="str">
        <f>INDEX(Classification!$B$16:$B$18,K13)</f>
        <v>Low</v>
      </c>
      <c r="M13" s="13" t="s">
        <v>542</v>
      </c>
      <c r="N13" s="13" t="s">
        <v>542</v>
      </c>
      <c r="O13" s="13" t="s">
        <v>546</v>
      </c>
      <c r="P13" s="13" t="s">
        <v>542</v>
      </c>
      <c r="Q13" s="13" t="s">
        <v>542</v>
      </c>
      <c r="R13" s="13" t="s">
        <v>542</v>
      </c>
      <c r="S13" s="20">
        <f t="shared" si="0"/>
        <v>0.83333333333333337</v>
      </c>
    </row>
    <row r="15" spans="2:19" ht="16" x14ac:dyDescent="0.2">
      <c r="B15" s="11" t="s">
        <v>552</v>
      </c>
    </row>
    <row r="16" spans="2:19" ht="16" x14ac:dyDescent="0.2">
      <c r="B16" s="3" t="s">
        <v>89</v>
      </c>
      <c r="C16" s="3" t="s">
        <v>553</v>
      </c>
      <c r="D16" s="3" t="s">
        <v>554</v>
      </c>
      <c r="E16" s="3" t="s">
        <v>555</v>
      </c>
      <c r="F16" s="3" t="s">
        <v>556</v>
      </c>
    </row>
    <row r="17" spans="2:6" x14ac:dyDescent="0.2">
      <c r="B17" s="21" t="s">
        <v>61</v>
      </c>
      <c r="C17" s="21">
        <f>COUNTIFS($L$6:$L$13,B17,$D$6:$D$13,"Supervisor")</f>
        <v>2</v>
      </c>
      <c r="D17" s="22">
        <f>IFERROR(AVERAGEIFS($S$6:$S$13,$L$6:$L$13,B17,$D$6:$D$13,"Supervisor"),"N/A")</f>
        <v>0.91666666666666674</v>
      </c>
      <c r="E17" s="21">
        <f>COUNTIFS($L$6:$L$13,B17,$D$6:$D$13,"Worker")</f>
        <v>2</v>
      </c>
      <c r="F17" s="22">
        <f>IFERROR(AVERAGEIFS($S$6:$S$13,$L$6:$L$13,B17,$D$6:$D$13,"Worker"),"N/A")</f>
        <v>0.83333333333333337</v>
      </c>
    </row>
    <row r="18" spans="2:6" x14ac:dyDescent="0.2">
      <c r="B18" s="23" t="s">
        <v>32</v>
      </c>
      <c r="C18" s="23">
        <f>COUNTIFS($L$6:$L$13,B18,$D$6:$D$13,"Supervisor")</f>
        <v>0</v>
      </c>
      <c r="D18" s="24" t="str">
        <f>IFERROR(AVERAGEIFS($S$6:$S$13,$L$6:$L$13,B18,$D$6:$D$13,"Supervisor"),"N/A")</f>
        <v>N/A</v>
      </c>
      <c r="E18" s="23">
        <f>COUNTIFS($L$6:$L$13,B18,$D$6:$D$13,"Worker")</f>
        <v>1</v>
      </c>
      <c r="F18" s="24">
        <f>IFERROR(AVERAGEIFS($S$6:$S$13,$L$6:$L$13,B18,$D$6:$D$13,"Worker"),"N/A")</f>
        <v>1</v>
      </c>
    </row>
    <row r="19" spans="2:6" x14ac:dyDescent="0.2">
      <c r="B19" s="25" t="s">
        <v>26</v>
      </c>
      <c r="C19" s="25">
        <f>COUNTIFS($L$6:$L$13,B19,$D$6:$D$13,"Supervisor")</f>
        <v>1</v>
      </c>
      <c r="D19" s="26">
        <f>IFERROR(AVERAGEIFS($S$6:$S$13,$L$6:$L$13,B19,$D$6:$D$13,"Supervisor"),"N/A")</f>
        <v>0.83333333333333337</v>
      </c>
      <c r="E19" s="25">
        <f>COUNTIFS($L$6:$L$13,B19,$D$6:$D$13,"Worker")</f>
        <v>2</v>
      </c>
      <c r="F19" s="26">
        <f>IFERROR(AVERAGEIFS($S$6:$S$13,$L$6:$L$13,B19,$D$6:$D$13,"Worker"),"N/A")</f>
        <v>0.91666666666666674</v>
      </c>
    </row>
    <row r="20" spans="2:6" x14ac:dyDescent="0.2">
      <c r="B20" s="7" t="s">
        <v>557</v>
      </c>
      <c r="C20" s="7">
        <f>SUM(C17:C19)</f>
        <v>3</v>
      </c>
      <c r="D20" s="27">
        <f>IFERROR(AVERAGEIFS($S$6:$S$13,$D$6:$D$13,"Supervisor"),"N/A")</f>
        <v>0.88888888888888895</v>
      </c>
      <c r="E20" s="7">
        <f>SUM(E17:E19)</f>
        <v>5</v>
      </c>
      <c r="F20" s="27">
        <f>IFERROR(AVERAGEIFS($S$6:$S$13,$D$6:$D$13,"Worker"),"N/A")</f>
        <v>0.9</v>
      </c>
    </row>
    <row r="22" spans="2:6" ht="16" x14ac:dyDescent="0.2">
      <c r="B22" s="11" t="s">
        <v>558</v>
      </c>
    </row>
    <row r="23" spans="2:6" ht="16" x14ac:dyDescent="0.2">
      <c r="B23" s="3" t="s">
        <v>559</v>
      </c>
      <c r="C23" s="3" t="s">
        <v>82</v>
      </c>
    </row>
    <row r="24" spans="2:6" ht="30" x14ac:dyDescent="0.2">
      <c r="B24" s="5" t="s">
        <v>560</v>
      </c>
      <c r="C24" s="13">
        <f>SUMPRODUCT(($D$6:$D$13="Supervisor")*($K$6:$K$13&lt;IFERROR(MATCH($I$6:$I$13,Classification!$B$16:$B$18,0),0)))</f>
        <v>0</v>
      </c>
    </row>
    <row r="25" spans="2:6" x14ac:dyDescent="0.2">
      <c r="B25" s="5" t="s">
        <v>561</v>
      </c>
      <c r="C25" s="13">
        <f>COUNTIF(M6:R13,"No")</f>
        <v>5</v>
      </c>
    </row>
  </sheetData>
  <conditionalFormatting sqref="L6:L13">
    <cfRule type="cellIs" dxfId="3" priority="3" operator="equal">
      <formula>"Critical"</formula>
    </cfRule>
    <cfRule type="cellIs" dxfId="2" priority="4" operator="equal">
      <formula>"Standard"</formula>
    </cfRule>
    <cfRule type="cellIs" dxfId="1" priority="5" operator="equal">
      <formula>"Low"</formula>
    </cfRule>
  </conditionalFormatting>
  <conditionalFormatting sqref="M6:R13">
    <cfRule type="cellIs" dxfId="0" priority="2" operator="equal">
      <formula>"No"</formula>
    </cfRule>
  </conditionalFormatting>
  <dataValidations count="1">
    <dataValidation type="list" allowBlank="1" sqref="M6:R13" xr:uid="{00000000-0002-0000-0500-000006000000}">
      <formula1>"Yes,No"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500-000000000000}">
          <x14:formula1>
            <xm:f>Classification!$F$21:$F$22</xm:f>
          </x14:formula1>
          <x14:formula2>
            <xm:f>0</xm:f>
          </x14:formula2>
          <xm:sqref>D6:D13</xm:sqref>
        </x14:dataValidation>
        <x14:dataValidation type="list" allowBlank="1" xr:uid="{00000000-0002-0000-0500-000001000000}">
          <x14:formula1>
            <xm:f>Classification!$B$6:$B$8</xm:f>
          </x14:formula1>
          <x14:formula2>
            <xm:f>0</xm:f>
          </x14:formula2>
          <xm:sqref>E6:E13</xm:sqref>
        </x14:dataValidation>
        <x14:dataValidation type="list" allowBlank="1" xr:uid="{00000000-0002-0000-0500-000002000000}">
          <x14:formula1>
            <xm:f>Classification!$B$11:$B$13</xm:f>
          </x14:formula1>
          <x14:formula2>
            <xm:f>0</xm:f>
          </x14:formula2>
          <xm:sqref>F6:F13</xm:sqref>
        </x14:dataValidation>
        <x14:dataValidation type="list" allowBlank="1" xr:uid="{00000000-0002-0000-0500-000003000000}">
          <x14:formula1>
            <xm:f>Classification!$B$21:$B$24</xm:f>
          </x14:formula1>
          <x14:formula2>
            <xm:f>0</xm:f>
          </x14:formula2>
          <xm:sqref>G6:G13</xm:sqref>
        </x14:dataValidation>
        <x14:dataValidation type="list" allowBlank="1" xr:uid="{00000000-0002-0000-0500-000004000000}">
          <x14:formula1>
            <xm:f>Classification!$D$21:$D$23</xm:f>
          </x14:formula1>
          <x14:formula2>
            <xm:f>0</xm:f>
          </x14:formula2>
          <xm:sqref>H6:H13</xm:sqref>
        </x14:dataValidation>
        <x14:dataValidation type="list" allowBlank="1" xr:uid="{00000000-0002-0000-0500-000005000000}">
          <x14:formula1>
            <xm:f>Classification!$B$16:$B$18</xm:f>
          </x14:formula1>
          <x14:formula2>
            <xm:f>0</xm:f>
          </x14:formula2>
          <xm:sqref>I6:I13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Classification</vt:lpstr>
      <vt:lpstr>Control Matrix</vt:lpstr>
      <vt:lpstr>Supervisor vs Worker</vt:lpstr>
      <vt:lpstr>Coverage Page</vt:lpstr>
      <vt:lpstr>Sample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 baswa</cp:lastModifiedBy>
  <cp:revision>0</cp:revision>
  <dcterms:created xsi:type="dcterms:W3CDTF">2026-09-28T02:35:52Z</dcterms:created>
  <dcterms:modified xsi:type="dcterms:W3CDTF">2026-09-28T02:42:04Z</dcterms:modified>
  <dc:language>en-US</dc:language>
</cp:coreProperties>
</file>